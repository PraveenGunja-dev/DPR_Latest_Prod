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30136030\Downloads\"/>
    </mc:Choice>
  </mc:AlternateContent>
  <xr:revisionPtr revIDLastSave="0" documentId="8_{B3BE932E-7B51-4EB4-B8CA-4231BD7C9A1C}" xr6:coauthVersionLast="47" xr6:coauthVersionMax="47" xr10:uidLastSave="{00000000-0000-0000-0000-000000000000}"/>
  <bookViews>
    <workbookView xWindow="-120" yWindow="-120" windowWidth="20730" windowHeight="11040" xr2:uid="{F2A6FEB2-663F-403E-9AE4-079B1F306723}"/>
  </bookViews>
  <sheets>
    <sheet name="220KV TL(Fdn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5" i="1" l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S5" i="1"/>
  <c r="R5" i="1"/>
  <c r="Q5" i="1"/>
  <c r="P5" i="1"/>
  <c r="O5" i="1"/>
  <c r="N5" i="1"/>
  <c r="M5" i="1"/>
  <c r="L5" i="1"/>
  <c r="K5" i="1"/>
  <c r="J5" i="1"/>
  <c r="I5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tc={6484CDEC-7300-4681-B5F3-7487A897C383}</author>
  </authors>
  <commentList>
    <comment ref="V15" authorId="0" shapeId="0" xr:uid="{6484CDEC-7300-4681-B5F3-7487A897C3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De-Watering WIP </t>
      </text>
    </comment>
  </commentList>
</comments>
</file>

<file path=xl/sharedStrings.xml><?xml version="1.0" encoding="utf-8"?>
<sst xmlns="http://schemas.openxmlformats.org/spreadsheetml/2006/main" count="190" uniqueCount="92">
  <si>
    <t>220KV  Transmission Line_Mandvi Project (7.03 KM)</t>
  </si>
  <si>
    <t>Sr.No.</t>
  </si>
  <si>
    <t>Loc.No.</t>
  </si>
  <si>
    <t>Deviation angle</t>
  </si>
  <si>
    <t>Type of Tower</t>
  </si>
  <si>
    <t>Span</t>
  </si>
  <si>
    <t>Elevation
(MSL)</t>
  </si>
  <si>
    <t>Village</t>
  </si>
  <si>
    <t>ROW</t>
  </si>
  <si>
    <t>Classification</t>
  </si>
  <si>
    <t>Check Survey</t>
  </si>
  <si>
    <t xml:space="preserve">ROW clearance </t>
  </si>
  <si>
    <t>Soil testing Status</t>
  </si>
  <si>
    <t>Excavation</t>
  </si>
  <si>
    <t>PCC</t>
  </si>
  <si>
    <t xml:space="preserve">Stub Setting </t>
  </si>
  <si>
    <t>Steel Binding</t>
  </si>
  <si>
    <t>Raft Casting</t>
  </si>
  <si>
    <t>Chimney Casting</t>
  </si>
  <si>
    <t>Backfilling Completion date</t>
  </si>
  <si>
    <t>Z</t>
  </si>
  <si>
    <t>Status</t>
  </si>
  <si>
    <t>Completion date</t>
  </si>
  <si>
    <t>Approach Road</t>
  </si>
  <si>
    <t>Tower Location</t>
  </si>
  <si>
    <t>Start Date</t>
  </si>
  <si>
    <t>Finish Date</t>
  </si>
  <si>
    <t>Plan Start Date</t>
  </si>
  <si>
    <t>Plan Finish date</t>
  </si>
  <si>
    <t>Actual Start Date</t>
  </si>
  <si>
    <t>Actual Finish Date</t>
  </si>
  <si>
    <t>Plan Finsih date</t>
  </si>
  <si>
    <t>GANTRY</t>
  </si>
  <si>
    <t>59°13'35"RT</t>
  </si>
  <si>
    <t>YTD+0</t>
  </si>
  <si>
    <t>Ramaniya</t>
  </si>
  <si>
    <t>1/0</t>
  </si>
  <si>
    <t xml:space="preserve">Clear </t>
  </si>
  <si>
    <t>NDS</t>
  </si>
  <si>
    <t>2/0</t>
  </si>
  <si>
    <t>8°15'43"LT</t>
  </si>
  <si>
    <t>2/1</t>
  </si>
  <si>
    <t>SYTA+0</t>
  </si>
  <si>
    <t>2/2</t>
  </si>
  <si>
    <t>24°42'52"LT</t>
  </si>
  <si>
    <t>SYTA+3</t>
  </si>
  <si>
    <t>3/0</t>
  </si>
  <si>
    <t>28°18'39"LT</t>
  </si>
  <si>
    <t>3/1</t>
  </si>
  <si>
    <t>2°15'10"RT</t>
  </si>
  <si>
    <t>Beraja</t>
  </si>
  <si>
    <t>4/0</t>
  </si>
  <si>
    <t>17°20'36"LT</t>
  </si>
  <si>
    <t>65.946</t>
  </si>
  <si>
    <t>4/1</t>
  </si>
  <si>
    <t>47°36'07"RT</t>
  </si>
  <si>
    <t>65.223</t>
  </si>
  <si>
    <t>4/2</t>
  </si>
  <si>
    <t>35°38'47"RT</t>
  </si>
  <si>
    <t>SYTA+6</t>
  </si>
  <si>
    <t>5/0</t>
  </si>
  <si>
    <t>YTD+3</t>
  </si>
  <si>
    <t>5/1</t>
  </si>
  <si>
    <t>53.354</t>
  </si>
  <si>
    <t>Depa</t>
  </si>
  <si>
    <t>6/0</t>
  </si>
  <si>
    <t>59.045</t>
  </si>
  <si>
    <t>7/0</t>
  </si>
  <si>
    <t>23°09'13"LT</t>
  </si>
  <si>
    <t>8/0</t>
  </si>
  <si>
    <t>57.831</t>
  </si>
  <si>
    <t>9/0</t>
  </si>
  <si>
    <t>36°27'07"RT</t>
  </si>
  <si>
    <t>YTD+6</t>
  </si>
  <si>
    <t>58.004</t>
  </si>
  <si>
    <t>10/0</t>
  </si>
  <si>
    <t>24°04'26"RT</t>
  </si>
  <si>
    <t>56.368</t>
  </si>
  <si>
    <t>10/1</t>
  </si>
  <si>
    <t>55.706</t>
  </si>
  <si>
    <t>11/0</t>
  </si>
  <si>
    <t>41°37'03"LT</t>
  </si>
  <si>
    <t>12/0</t>
  </si>
  <si>
    <t>27°38'14"LT</t>
  </si>
  <si>
    <t>13/0</t>
  </si>
  <si>
    <t>14/0</t>
  </si>
  <si>
    <t>14/1</t>
  </si>
  <si>
    <t>15/0</t>
  </si>
  <si>
    <t>16/0</t>
  </si>
  <si>
    <t>17/0</t>
  </si>
  <si>
    <t>18/0</t>
  </si>
  <si>
    <t>EXI.LOC.TAP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</si>
</sst>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>
    <font>
      <sz val="10"/>
      <color theme="1"/>
      <name val="Adani Regular"/>
      <family val="2"/>
    </font>
    <font>
      <sz val="11"/>
      <color theme="1"/>
      <name val="Aptos Narrow"/>
      <family val="2"/>
      <scheme val="minor"/>
    </font>
    <font>
      <b/>
      <sz val="13"/>
      <name val="Century Gothic"/>
      <family val="2"/>
    </font>
    <font>
      <b/>
      <sz val="1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1" fillId="0" borderId="0" xfId="1"/>
    <xf numFmtId="0" fontId="3" fillId="3" borderId="12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3" fillId="4" borderId="15" xfId="1" applyFont="1" applyFill="1" applyBorder="1" applyAlignment="1">
      <alignment vertical="center" wrapText="1"/>
    </xf>
    <xf numFmtId="0" fontId="4" fillId="0" borderId="9" xfId="1" applyFont="1" applyBorder="1" applyAlignment="1">
      <alignment horizontal="center" vertical="center"/>
    </xf>
    <xf numFmtId="0" fontId="3" fillId="4" borderId="9" xfId="1" applyFont="1" applyFill="1" applyBorder="1" applyAlignment="1">
      <alignment vertical="center" wrapText="1"/>
    </xf>
    <xf numFmtId="0" fontId="5" fillId="0" borderId="9" xfId="1" applyFont="1" applyBorder="1"/>
    <xf numFmtId="0" fontId="3" fillId="0" borderId="3" xfId="1" applyFont="1" applyBorder="1" applyAlignment="1">
      <alignment horizontal="center" vertical="center" wrapText="1"/>
    </xf>
    <xf numFmtId="49" fontId="1" fillId="0" borderId="8" xfId="1" applyNumberForma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0" fontId="4" fillId="0" borderId="4" xfId="1" applyFont="1" applyBorder="1"/>
    <xf numFmtId="0" fontId="4" fillId="4" borderId="4" xfId="1" applyFont="1" applyFill="1" applyBorder="1"/>
    <xf numFmtId="0" fontId="4" fillId="4" borderId="4" xfId="1" applyFont="1" applyFill="1" applyBorder="1" applyAlignment="1">
      <alignment horizontal="center" vertical="center"/>
    </xf>
    <xf numFmtId="15" fontId="6" fillId="4" borderId="4" xfId="1" applyNumberFormat="1" applyFont="1" applyFill="1" applyBorder="1" applyAlignment="1">
      <alignment horizontal="center" vertical="center"/>
    </xf>
    <xf numFmtId="164" fontId="4" fillId="4" borderId="4" xfId="1" applyNumberFormat="1" applyFont="1" applyFill="1" applyBorder="1" applyAlignment="1">
      <alignment horizontal="center" vertical="center"/>
    </xf>
    <xf numFmtId="15" fontId="6" fillId="4" borderId="4" xfId="1" applyNumberFormat="1" applyFont="1" applyFill="1" applyBorder="1" applyAlignment="1">
      <alignment horizontal="center"/>
    </xf>
    <xf numFmtId="15" fontId="6" fillId="4" borderId="6" xfId="1" applyNumberFormat="1" applyFont="1" applyFill="1" applyBorder="1" applyAlignment="1">
      <alignment horizontal="center"/>
    </xf>
    <xf numFmtId="0" fontId="1" fillId="4" borderId="0" xfId="1" applyFill="1"/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1" fontId="3" fillId="0" borderId="8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0" fontId="4" fillId="0" borderId="8" xfId="1" applyFont="1" applyBorder="1"/>
    <xf numFmtId="0" fontId="4" fillId="5" borderId="8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15" fontId="6" fillId="4" borderId="8" xfId="1" applyNumberFormat="1" applyFont="1" applyFill="1" applyBorder="1" applyAlignment="1">
      <alignment horizontal="center" vertical="center"/>
    </xf>
    <xf numFmtId="164" fontId="4" fillId="4" borderId="8" xfId="1" applyNumberFormat="1" applyFont="1" applyFill="1" applyBorder="1" applyAlignment="1">
      <alignment horizontal="center" vertical="center"/>
    </xf>
    <xf numFmtId="15" fontId="6" fillId="4" borderId="8" xfId="1" applyNumberFormat="1" applyFont="1" applyFill="1" applyBorder="1" applyAlignment="1">
      <alignment horizontal="center"/>
    </xf>
    <xf numFmtId="15" fontId="6" fillId="4" borderId="10" xfId="1" applyNumberFormat="1" applyFont="1" applyFill="1" applyBorder="1" applyAlignment="1">
      <alignment horizontal="center"/>
    </xf>
    <xf numFmtId="15" fontId="6" fillId="4" borderId="16" xfId="1" applyNumberFormat="1" applyFont="1" applyFill="1" applyBorder="1" applyAlignment="1">
      <alignment horizontal="center"/>
    </xf>
    <xf numFmtId="15" fontId="6" fillId="4" borderId="10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" fontId="4" fillId="0" borderId="8" xfId="1" applyNumberFormat="1" applyFont="1" applyBorder="1" applyAlignment="1">
      <alignment horizontal="center" vertical="center" wrapText="1"/>
    </xf>
    <xf numFmtId="15" fontId="6" fillId="4" borderId="0" xfId="1" applyNumberFormat="1" applyFont="1" applyFill="1" applyAlignment="1">
      <alignment horizontal="center" vertical="center"/>
    </xf>
    <xf numFmtId="15" fontId="4" fillId="4" borderId="10" xfId="1" applyNumberFormat="1" applyFont="1" applyFill="1" applyBorder="1"/>
    <xf numFmtId="15" fontId="1" fillId="0" borderId="0" xfId="1" applyNumberFormat="1"/>
    <xf numFmtId="15" fontId="6" fillId="4" borderId="8" xfId="1" applyNumberFormat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/>
    </xf>
    <xf numFmtId="15" fontId="6" fillId="0" borderId="8" xfId="1" applyNumberFormat="1" applyFont="1" applyBorder="1" applyAlignment="1">
      <alignment horizontal="center" vertical="center"/>
    </xf>
    <xf numFmtId="15" fontId="6" fillId="6" borderId="8" xfId="1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6" fillId="4" borderId="8" xfId="1" applyFont="1" applyFill="1" applyBorder="1" applyAlignment="1">
      <alignment vertical="center"/>
    </xf>
    <xf numFmtId="15" fontId="6" fillId="4" borderId="8" xfId="1" applyNumberFormat="1" applyFont="1" applyFill="1" applyBorder="1" applyAlignment="1">
      <alignment vertical="center"/>
    </xf>
    <xf numFmtId="15" fontId="6" fillId="4" borderId="10" xfId="1" applyNumberFormat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4" fillId="4" borderId="8" xfId="1" applyFont="1" applyFill="1" applyBorder="1" applyAlignment="1">
      <alignment wrapText="1"/>
    </xf>
    <xf numFmtId="15" fontId="6" fillId="4" borderId="10" xfId="1" applyNumberFormat="1" applyFont="1" applyFill="1" applyBorder="1" applyAlignment="1">
      <alignment horizontal="center" vertical="center" wrapText="1"/>
    </xf>
    <xf numFmtId="15" fontId="6" fillId="0" borderId="8" xfId="1" applyNumberFormat="1" applyFont="1" applyBorder="1" applyAlignment="1">
      <alignment horizontal="center" vertical="center" wrapText="1"/>
    </xf>
    <xf numFmtId="15" fontId="7" fillId="0" borderId="8" xfId="1" applyNumberFormat="1" applyFont="1" applyBorder="1" applyAlignment="1">
      <alignment horizontal="center" vertical="center" wrapText="1"/>
    </xf>
    <xf numFmtId="0" fontId="1" fillId="4" borderId="8" xfId="1" applyFill="1" applyBorder="1" applyAlignment="1">
      <alignment wrapText="1"/>
    </xf>
    <xf numFmtId="0" fontId="1" fillId="0" borderId="8" xfId="1" applyBorder="1"/>
    <xf numFmtId="0" fontId="5" fillId="4" borderId="8" xfId="1" applyFont="1" applyFill="1" applyBorder="1"/>
    <xf numFmtId="0" fontId="3" fillId="0" borderId="17" xfId="1" applyFont="1" applyBorder="1" applyAlignment="1">
      <alignment horizontal="center" vertical="center" wrapText="1"/>
    </xf>
    <xf numFmtId="49" fontId="1" fillId="0" borderId="18" xfId="1" applyNumberFormat="1" applyBorder="1" applyAlignment="1">
      <alignment horizontal="center" vertical="center"/>
    </xf>
    <xf numFmtId="0" fontId="1" fillId="0" borderId="18" xfId="1" applyBorder="1"/>
    <xf numFmtId="0" fontId="1" fillId="0" borderId="18" xfId="1" applyBorder="1" applyAlignment="1">
      <alignment horizontal="center" vertical="center"/>
    </xf>
    <xf numFmtId="0" fontId="4" fillId="4" borderId="18" xfId="1" applyFont="1" applyFill="1" applyBorder="1" applyAlignment="1">
      <alignment horizontal="center" vertical="center"/>
    </xf>
    <xf numFmtId="0" fontId="5" fillId="4" borderId="18" xfId="1" applyFont="1" applyFill="1" applyBorder="1"/>
    <xf numFmtId="15" fontId="6" fillId="4" borderId="18" xfId="1" applyNumberFormat="1" applyFont="1" applyFill="1" applyBorder="1" applyAlignment="1">
      <alignment horizontal="center" vertical="center" wrapText="1"/>
    </xf>
    <xf numFmtId="15" fontId="6" fillId="0" borderId="18" xfId="1" applyNumberFormat="1" applyFont="1" applyBorder="1" applyAlignment="1">
      <alignment horizontal="center" vertical="center" wrapText="1"/>
    </xf>
    <xf numFmtId="15" fontId="6" fillId="4" borderId="19" xfId="1" applyNumberFormat="1" applyFont="1" applyFill="1" applyBorder="1" applyAlignment="1">
      <alignment horizontal="center" vertical="center" wrapText="1"/>
    </xf>
    <xf numFmtId="0" fontId="1" fillId="4" borderId="8" xfId="1" applyFill="1" applyBorder="1"/>
    <xf numFmtId="49" fontId="1" fillId="0" borderId="8" xfId="1" applyNumberForma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/>
    </xf>
    <xf numFmtId="0" fontId="4" fillId="3" borderId="8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2 2 14 2" xfId="1" xr:uid="{148C0E7C-A5B6-422D-B1E3-E0E79B354D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nishk Sharma" id="{0E6BE38A-2AFB-46F0-8D71-D3B819A5D979}" userId="S::30136030@adani.com::b5568c72-c63a-4b22-8f21-f5a3d4d386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5" dT="2026-09-18T08:31:54.03" personId="{0E6BE38A-2AFB-46F0-8D71-D3B819A5D979}" id="{6484CDEC-7300-4681-B5F3-7487A897C383}">
    <text xml:space="preserve">De-Watering WIP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0D01-063B-4E1A-B096-35A66DC45F3D}">
  <dimension ref="A1:AT37"/>
  <sheetViews>
    <sheetView tabSelected="1" zoomScale="88" workbookViewId="0">
      <pane ySplit="5" topLeftCell="N6" activePane="bottomLeft" state="frozen"/>
      <selection pane="bottomLeft" activeCell="T7" sqref="T7"/>
    </sheetView>
  </sheetViews>
  <sheetFormatPr defaultColWidth="8.85546875" defaultRowHeight="15"/>
  <cols>
    <col min="1" max="1" width="5.42578125" style="1" bestFit="1" customWidth="1"/>
    <col min="2" max="2" width="9.42578125" style="1" customWidth="1"/>
    <col min="3" max="3" width="0" style="1" hidden="1" customWidth="1"/>
    <col min="4" max="4" width="8.28515625" style="1" customWidth="1"/>
    <col min="5" max="7" width="0" style="1" hidden="1" customWidth="1"/>
    <col min="8" max="8" width="14.140625" style="1" customWidth="1"/>
    <col min="9" max="9" width="12.42578125" style="1" customWidth="1"/>
    <col min="10" max="10" width="6.5703125" style="1" customWidth="1"/>
    <col min="11" max="11" width="10.85546875" style="1" customWidth="1"/>
    <col min="12" max="12" width="7.7109375" style="1" customWidth="1"/>
    <col min="13" max="13" width="9.5703125" style="1" customWidth="1"/>
    <col min="14" max="14" width="20.5703125" style="1" customWidth="1"/>
    <col min="15" max="15" width="8.85546875" style="1" customWidth="1"/>
    <col min="16" max="16" width="10.28515625" style="1" bestFit="1" customWidth="1"/>
    <col min="17" max="17" width="9.85546875" style="1" customWidth="1"/>
    <col min="18" max="18" width="10.28515625" style="1" customWidth="1"/>
    <col min="19" max="19" width="14.7109375" style="1" customWidth="1"/>
    <col min="20" max="20" width="8.28515625" style="1" customWidth="1"/>
    <col min="21" max="21" width="10.140625" style="1" customWidth="1"/>
    <col min="22" max="22" width="8.42578125" style="1" customWidth="1"/>
    <col min="23" max="42" width="8.28515625" style="1" customWidth="1"/>
    <col min="43" max="43" width="9.140625" style="1" bestFit="1" customWidth="1"/>
    <col min="44" max="45" width="8.85546875" style="1"/>
    <col min="46" max="46" width="7.85546875" style="1" bestFit="1" customWidth="1"/>
    <col min="47" max="16384" width="8.85546875" style="1"/>
  </cols>
  <sheetData>
    <row r="1" spans="1:46" ht="16.5" thickBo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</row>
    <row r="2" spans="1:46">
      <c r="A2" s="72" t="s">
        <v>1</v>
      </c>
      <c r="B2" s="75" t="s">
        <v>2</v>
      </c>
      <c r="C2" s="75" t="s">
        <v>3</v>
      </c>
      <c r="D2" s="75" t="s">
        <v>4</v>
      </c>
      <c r="E2" s="75" t="s">
        <v>5</v>
      </c>
      <c r="F2" s="75" t="s">
        <v>6</v>
      </c>
      <c r="G2" s="78" t="s">
        <v>7</v>
      </c>
      <c r="H2" s="81" t="s">
        <v>8</v>
      </c>
      <c r="I2" s="84" t="s">
        <v>9</v>
      </c>
      <c r="J2" s="91" t="s">
        <v>10</v>
      </c>
      <c r="K2" s="91"/>
      <c r="L2" s="91" t="s">
        <v>11</v>
      </c>
      <c r="M2" s="91"/>
      <c r="N2" s="91" t="s">
        <v>12</v>
      </c>
      <c r="O2" s="91"/>
      <c r="P2" s="78" t="s">
        <v>13</v>
      </c>
      <c r="Q2" s="78"/>
      <c r="R2" s="78"/>
      <c r="S2" s="78"/>
      <c r="T2" s="78" t="s">
        <v>14</v>
      </c>
      <c r="U2" s="78"/>
      <c r="V2" s="78"/>
      <c r="W2" s="78"/>
      <c r="X2" s="91" t="s">
        <v>15</v>
      </c>
      <c r="Y2" s="91"/>
      <c r="Z2" s="91"/>
      <c r="AA2" s="91"/>
      <c r="AB2" s="78" t="s">
        <v>16</v>
      </c>
      <c r="AC2" s="78"/>
      <c r="AD2" s="78"/>
      <c r="AE2" s="78"/>
      <c r="AF2" s="78" t="s">
        <v>17</v>
      </c>
      <c r="AG2" s="78"/>
      <c r="AH2" s="78"/>
      <c r="AI2" s="78"/>
      <c r="AJ2" s="87" t="s">
        <v>18</v>
      </c>
      <c r="AK2" s="87"/>
      <c r="AL2" s="87"/>
      <c r="AM2" s="87"/>
      <c r="AN2" s="87" t="s">
        <v>19</v>
      </c>
      <c r="AO2" s="87"/>
      <c r="AP2" s="87"/>
      <c r="AQ2" s="89"/>
    </row>
    <row r="3" spans="1:46">
      <c r="A3" s="73"/>
      <c r="B3" s="76"/>
      <c r="C3" s="76"/>
      <c r="D3" s="76"/>
      <c r="E3" s="76"/>
      <c r="F3" s="76"/>
      <c r="G3" s="79"/>
      <c r="H3" s="82"/>
      <c r="I3" s="85"/>
      <c r="J3" s="92"/>
      <c r="K3" s="92"/>
      <c r="L3" s="92"/>
      <c r="M3" s="92"/>
      <c r="N3" s="92"/>
      <c r="O3" s="92"/>
      <c r="P3" s="79"/>
      <c r="Q3" s="79"/>
      <c r="R3" s="79"/>
      <c r="S3" s="79"/>
      <c r="T3" s="79"/>
      <c r="U3" s="79"/>
      <c r="V3" s="79"/>
      <c r="W3" s="79"/>
      <c r="X3" s="92"/>
      <c r="Y3" s="92"/>
      <c r="Z3" s="92"/>
      <c r="AA3" s="92"/>
      <c r="AB3" s="79"/>
      <c r="AC3" s="79"/>
      <c r="AD3" s="79"/>
      <c r="AE3" s="79"/>
      <c r="AF3" s="79"/>
      <c r="AG3" s="79"/>
      <c r="AH3" s="79"/>
      <c r="AI3" s="79"/>
      <c r="AJ3" s="88"/>
      <c r="AK3" s="88"/>
      <c r="AL3" s="88"/>
      <c r="AM3" s="88"/>
      <c r="AN3" s="88"/>
      <c r="AO3" s="88"/>
      <c r="AP3" s="88"/>
      <c r="AQ3" s="90"/>
    </row>
    <row r="4" spans="1:46" ht="43.5">
      <c r="A4" s="74"/>
      <c r="B4" s="77"/>
      <c r="C4" s="77"/>
      <c r="D4" s="77"/>
      <c r="E4" s="77"/>
      <c r="F4" s="2" t="s">
        <v>20</v>
      </c>
      <c r="G4" s="80"/>
      <c r="H4" s="83"/>
      <c r="I4" s="86"/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27</v>
      </c>
      <c r="U4" s="3" t="s">
        <v>31</v>
      </c>
      <c r="V4" s="3" t="s">
        <v>29</v>
      </c>
      <c r="W4" s="3" t="s">
        <v>30</v>
      </c>
      <c r="X4" s="3" t="s">
        <v>27</v>
      </c>
      <c r="Y4" s="3" t="s">
        <v>31</v>
      </c>
      <c r="Z4" s="3" t="s">
        <v>29</v>
      </c>
      <c r="AA4" s="3" t="s">
        <v>30</v>
      </c>
      <c r="AB4" s="3" t="s">
        <v>27</v>
      </c>
      <c r="AC4" s="3" t="s">
        <v>31</v>
      </c>
      <c r="AD4" s="3" t="s">
        <v>29</v>
      </c>
      <c r="AE4" s="3" t="s">
        <v>30</v>
      </c>
      <c r="AF4" s="3" t="s">
        <v>27</v>
      </c>
      <c r="AG4" s="3" t="s">
        <v>31</v>
      </c>
      <c r="AH4" s="3" t="s">
        <v>29</v>
      </c>
      <c r="AI4" s="3" t="s">
        <v>30</v>
      </c>
      <c r="AJ4" s="3" t="s">
        <v>27</v>
      </c>
      <c r="AK4" s="3" t="s">
        <v>31</v>
      </c>
      <c r="AL4" s="3" t="s">
        <v>29</v>
      </c>
      <c r="AM4" s="3" t="s">
        <v>30</v>
      </c>
      <c r="AN4" s="3" t="s">
        <v>27</v>
      </c>
      <c r="AO4" s="3" t="s">
        <v>31</v>
      </c>
      <c r="AP4" s="3" t="s">
        <v>29</v>
      </c>
      <c r="AQ4" s="4" t="s">
        <v>30</v>
      </c>
    </row>
    <row r="5" spans="1:46" ht="17.25" thickBot="1">
      <c r="A5" s="5"/>
      <c r="B5" s="6">
        <v>28</v>
      </c>
      <c r="C5" s="7"/>
      <c r="D5" s="7"/>
      <c r="E5" s="7"/>
      <c r="F5" s="7"/>
      <c r="G5" s="8"/>
      <c r="H5" s="6">
        <f>SUBTOTAL(3,H6:H33)</f>
        <v>13</v>
      </c>
      <c r="I5" s="6">
        <f t="shared" ref="I5:S5" si="0">SUBTOTAL(3,I6:I33)</f>
        <v>6</v>
      </c>
      <c r="J5" s="6">
        <f t="shared" si="0"/>
        <v>18</v>
      </c>
      <c r="K5" s="6">
        <f t="shared" si="0"/>
        <v>18</v>
      </c>
      <c r="L5" s="6">
        <f t="shared" si="0"/>
        <v>0</v>
      </c>
      <c r="M5" s="6">
        <f t="shared" si="0"/>
        <v>0</v>
      </c>
      <c r="N5" s="6">
        <f t="shared" si="0"/>
        <v>0</v>
      </c>
      <c r="O5" s="6">
        <f t="shared" si="0"/>
        <v>0</v>
      </c>
      <c r="P5" s="6">
        <f t="shared" si="0"/>
        <v>0</v>
      </c>
      <c r="Q5" s="6">
        <f t="shared" si="0"/>
        <v>0</v>
      </c>
      <c r="R5" s="6">
        <f t="shared" si="0"/>
        <v>10</v>
      </c>
      <c r="S5" s="6">
        <f t="shared" si="0"/>
        <v>10</v>
      </c>
      <c r="T5" s="6"/>
      <c r="U5" s="6">
        <f t="shared" ref="U5:AQ5" si="1">COUNT(U6:U27)</f>
        <v>0</v>
      </c>
      <c r="V5" s="6">
        <f t="shared" si="1"/>
        <v>0</v>
      </c>
      <c r="W5" s="6">
        <f t="shared" si="1"/>
        <v>0</v>
      </c>
      <c r="X5" s="6">
        <f t="shared" si="1"/>
        <v>0</v>
      </c>
      <c r="Y5" s="6">
        <f t="shared" si="1"/>
        <v>0</v>
      </c>
      <c r="Z5" s="6">
        <f t="shared" si="1"/>
        <v>2</v>
      </c>
      <c r="AA5" s="6">
        <f t="shared" si="1"/>
        <v>2</v>
      </c>
      <c r="AB5" s="6">
        <f t="shared" si="1"/>
        <v>0</v>
      </c>
      <c r="AC5" s="6">
        <f t="shared" si="1"/>
        <v>0</v>
      </c>
      <c r="AD5" s="6">
        <f t="shared" si="1"/>
        <v>0</v>
      </c>
      <c r="AE5" s="6">
        <f t="shared" si="1"/>
        <v>0</v>
      </c>
      <c r="AF5" s="6">
        <f t="shared" si="1"/>
        <v>0</v>
      </c>
      <c r="AG5" s="6">
        <f t="shared" si="1"/>
        <v>0</v>
      </c>
      <c r="AH5" s="6">
        <f t="shared" si="1"/>
        <v>0</v>
      </c>
      <c r="AI5" s="6">
        <f t="shared" si="1"/>
        <v>0</v>
      </c>
      <c r="AJ5" s="6">
        <f t="shared" si="1"/>
        <v>0</v>
      </c>
      <c r="AK5" s="6">
        <f t="shared" si="1"/>
        <v>0</v>
      </c>
      <c r="AL5" s="6">
        <f t="shared" si="1"/>
        <v>0</v>
      </c>
      <c r="AM5" s="6">
        <f t="shared" si="1"/>
        <v>0</v>
      </c>
      <c r="AN5" s="6">
        <f t="shared" si="1"/>
        <v>0</v>
      </c>
      <c r="AO5" s="6">
        <f t="shared" si="1"/>
        <v>0</v>
      </c>
      <c r="AP5" s="6">
        <f t="shared" si="1"/>
        <v>0</v>
      </c>
      <c r="AQ5" s="6">
        <f t="shared" si="1"/>
        <v>0</v>
      </c>
    </row>
    <row r="6" spans="1:46" ht="28.5">
      <c r="A6" s="9">
        <v>1</v>
      </c>
      <c r="B6" s="10" t="s">
        <v>32</v>
      </c>
      <c r="C6" s="11" t="s">
        <v>33</v>
      </c>
      <c r="D6" s="12" t="s">
        <v>34</v>
      </c>
      <c r="E6" s="13"/>
      <c r="F6" s="14">
        <v>62.216999999999999</v>
      </c>
      <c r="G6" s="15" t="s">
        <v>35</v>
      </c>
      <c r="H6" s="16"/>
      <c r="I6" s="17"/>
      <c r="J6" s="17"/>
      <c r="K6" s="18"/>
      <c r="L6" s="19"/>
      <c r="M6" s="19"/>
      <c r="N6" s="19"/>
      <c r="O6" s="19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1"/>
      <c r="AR6" s="22"/>
      <c r="AS6" s="22"/>
    </row>
    <row r="7" spans="1:46" ht="15" customHeight="1">
      <c r="A7" s="23">
        <v>2</v>
      </c>
      <c r="B7" s="10" t="s">
        <v>36</v>
      </c>
      <c r="C7" s="24"/>
      <c r="D7" s="12" t="s">
        <v>34</v>
      </c>
      <c r="E7" s="25"/>
      <c r="F7" s="26">
        <v>56.759</v>
      </c>
      <c r="G7" s="27" t="s">
        <v>35</v>
      </c>
      <c r="H7" s="28" t="s">
        <v>37</v>
      </c>
      <c r="I7" s="29" t="s">
        <v>38</v>
      </c>
      <c r="J7" s="28" t="s">
        <v>37</v>
      </c>
      <c r="K7" s="30">
        <v>46254</v>
      </c>
      <c r="L7" s="31"/>
      <c r="M7" s="31"/>
      <c r="N7" s="31"/>
      <c r="O7" s="31"/>
      <c r="P7" s="32"/>
      <c r="Q7" s="32"/>
      <c r="R7" s="32">
        <v>46254</v>
      </c>
      <c r="S7" s="32">
        <v>46255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3"/>
      <c r="AR7" s="22"/>
      <c r="AS7" s="22"/>
    </row>
    <row r="8" spans="1:46">
      <c r="A8" s="23">
        <v>3</v>
      </c>
      <c r="B8" s="10" t="s">
        <v>39</v>
      </c>
      <c r="C8" s="24" t="s">
        <v>40</v>
      </c>
      <c r="D8" s="12" t="s">
        <v>34</v>
      </c>
      <c r="E8" s="25"/>
      <c r="F8" s="26">
        <v>60.767000000000003</v>
      </c>
      <c r="G8" s="27" t="s">
        <v>35</v>
      </c>
      <c r="H8" s="29"/>
      <c r="I8" s="29"/>
      <c r="J8" s="29"/>
      <c r="K8" s="30"/>
      <c r="L8" s="31"/>
      <c r="M8" s="31"/>
      <c r="N8" s="31"/>
      <c r="O8" s="31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4"/>
      <c r="AP8" s="34"/>
      <c r="AQ8" s="33"/>
      <c r="AR8" s="22"/>
      <c r="AS8" s="22"/>
    </row>
    <row r="9" spans="1:46" ht="15" customHeight="1">
      <c r="A9" s="23">
        <v>4</v>
      </c>
      <c r="B9" s="10" t="s">
        <v>41</v>
      </c>
      <c r="C9" s="24"/>
      <c r="D9" s="12" t="s">
        <v>42</v>
      </c>
      <c r="E9" s="25"/>
      <c r="F9" s="26">
        <v>56.575000000000003</v>
      </c>
      <c r="G9" s="27" t="s">
        <v>35</v>
      </c>
      <c r="H9" s="29"/>
      <c r="I9" s="29"/>
      <c r="J9" s="29"/>
      <c r="K9" s="30"/>
      <c r="L9" s="31"/>
      <c r="M9" s="31"/>
      <c r="N9" s="31"/>
      <c r="O9" s="31"/>
      <c r="P9" s="30"/>
      <c r="Q9" s="30"/>
      <c r="R9" s="30"/>
      <c r="S9" s="30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4"/>
      <c r="AQ9" s="33"/>
      <c r="AR9" s="22"/>
      <c r="AS9" s="22"/>
    </row>
    <row r="10" spans="1:46" ht="28.5">
      <c r="A10" s="23">
        <v>5</v>
      </c>
      <c r="B10" s="10" t="s">
        <v>43</v>
      </c>
      <c r="C10" s="24" t="s">
        <v>44</v>
      </c>
      <c r="D10" s="12" t="s">
        <v>45</v>
      </c>
      <c r="E10" s="25"/>
      <c r="F10" s="26">
        <v>58.835999999999999</v>
      </c>
      <c r="G10" s="27" t="s">
        <v>35</v>
      </c>
      <c r="H10" s="29"/>
      <c r="I10" s="29"/>
      <c r="J10" s="29"/>
      <c r="K10" s="30"/>
      <c r="L10" s="31"/>
      <c r="M10" s="31"/>
      <c r="N10" s="31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5"/>
      <c r="AR10" s="22"/>
      <c r="AS10" s="22"/>
    </row>
    <row r="11" spans="1:46" ht="28.5">
      <c r="A11" s="36">
        <v>6</v>
      </c>
      <c r="B11" s="10" t="s">
        <v>46</v>
      </c>
      <c r="C11" s="37" t="s">
        <v>47</v>
      </c>
      <c r="D11" s="12" t="s">
        <v>34</v>
      </c>
      <c r="E11" s="38"/>
      <c r="F11" s="26">
        <v>68.775000000000006</v>
      </c>
      <c r="G11" s="27" t="s">
        <v>35</v>
      </c>
      <c r="H11" s="29"/>
      <c r="I11" s="29"/>
      <c r="J11" s="29"/>
      <c r="K11" s="30"/>
      <c r="L11" s="31"/>
      <c r="M11" s="31"/>
      <c r="N11" s="31"/>
      <c r="O11" s="31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5"/>
      <c r="AR11" s="39"/>
      <c r="AS11" s="22"/>
    </row>
    <row r="12" spans="1:46">
      <c r="A12" s="36">
        <v>7</v>
      </c>
      <c r="B12" s="10" t="s">
        <v>48</v>
      </c>
      <c r="C12" s="37" t="s">
        <v>49</v>
      </c>
      <c r="D12" s="12" t="s">
        <v>42</v>
      </c>
      <c r="E12" s="38"/>
      <c r="F12" s="26">
        <v>70.775000000000006</v>
      </c>
      <c r="G12" s="27" t="s">
        <v>50</v>
      </c>
      <c r="H12" s="29"/>
      <c r="I12" s="29"/>
      <c r="J12" s="29"/>
      <c r="K12" s="30"/>
      <c r="L12" s="31"/>
      <c r="M12" s="31"/>
      <c r="N12" s="31"/>
      <c r="O12" s="31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40"/>
      <c r="AR12" s="22"/>
      <c r="AS12" s="22"/>
      <c r="AT12" s="41"/>
    </row>
    <row r="13" spans="1:46" ht="28.5">
      <c r="A13" s="23">
        <v>8</v>
      </c>
      <c r="B13" s="10" t="s">
        <v>51</v>
      </c>
      <c r="C13" s="24" t="s">
        <v>52</v>
      </c>
      <c r="D13" s="12" t="s">
        <v>34</v>
      </c>
      <c r="E13" s="25"/>
      <c r="F13" s="26" t="s">
        <v>53</v>
      </c>
      <c r="G13" s="27" t="s">
        <v>35</v>
      </c>
      <c r="H13" s="29"/>
      <c r="I13" s="29"/>
      <c r="J13" s="29"/>
      <c r="K13" s="30"/>
      <c r="L13" s="31"/>
      <c r="M13" s="31"/>
      <c r="N13" s="31"/>
      <c r="O13" s="31"/>
      <c r="P13" s="30"/>
      <c r="Q13" s="30"/>
      <c r="R13" s="30"/>
      <c r="S13" s="42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5"/>
      <c r="AR13" s="22"/>
      <c r="AS13" s="22"/>
    </row>
    <row r="14" spans="1:46" ht="28.5">
      <c r="A14" s="23">
        <v>9</v>
      </c>
      <c r="B14" s="10" t="s">
        <v>54</v>
      </c>
      <c r="C14" s="24" t="s">
        <v>55</v>
      </c>
      <c r="D14" s="12" t="s">
        <v>42</v>
      </c>
      <c r="E14" s="25"/>
      <c r="F14" s="26" t="s">
        <v>56</v>
      </c>
      <c r="G14" s="27" t="s">
        <v>35</v>
      </c>
      <c r="H14" s="29"/>
      <c r="I14" s="29"/>
      <c r="J14" s="29"/>
      <c r="K14" s="30"/>
      <c r="L14" s="31"/>
      <c r="M14" s="31"/>
      <c r="N14" s="31"/>
      <c r="O14" s="31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5"/>
      <c r="AR14" s="39"/>
      <c r="AS14" s="22"/>
    </row>
    <row r="15" spans="1:46" ht="28.5">
      <c r="A15" s="23">
        <v>10</v>
      </c>
      <c r="B15" s="10" t="s">
        <v>57</v>
      </c>
      <c r="C15" s="24" t="s">
        <v>58</v>
      </c>
      <c r="D15" s="12" t="s">
        <v>59</v>
      </c>
      <c r="E15" s="25"/>
      <c r="F15" s="26">
        <v>58.530999999999999</v>
      </c>
      <c r="G15" s="27" t="s">
        <v>35</v>
      </c>
      <c r="H15" s="28" t="s">
        <v>37</v>
      </c>
      <c r="I15" s="43" t="s">
        <v>38</v>
      </c>
      <c r="J15" s="28" t="s">
        <v>37</v>
      </c>
      <c r="K15" s="30">
        <v>46260</v>
      </c>
      <c r="L15" s="31"/>
      <c r="M15" s="31"/>
      <c r="N15" s="31"/>
      <c r="O15" s="31"/>
      <c r="P15" s="30"/>
      <c r="Q15" s="30"/>
      <c r="R15" s="30">
        <v>46262</v>
      </c>
      <c r="S15" s="44">
        <v>46263</v>
      </c>
      <c r="T15" s="30"/>
      <c r="U15" s="30"/>
      <c r="V15" s="45"/>
      <c r="W15" s="30"/>
      <c r="X15" s="30"/>
      <c r="Y15" s="30"/>
      <c r="Z15" s="30">
        <v>46284</v>
      </c>
      <c r="AA15" s="30">
        <v>46285</v>
      </c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40"/>
      <c r="AR15" s="22"/>
      <c r="AS15" s="22"/>
    </row>
    <row r="16" spans="1:46" s="51" customFormat="1">
      <c r="A16" s="23">
        <v>11</v>
      </c>
      <c r="B16" s="10" t="s">
        <v>60</v>
      </c>
      <c r="C16" s="46"/>
      <c r="D16" s="12" t="s">
        <v>61</v>
      </c>
      <c r="E16" s="46"/>
      <c r="F16" s="46"/>
      <c r="G16" s="46"/>
      <c r="H16" s="28" t="s">
        <v>37</v>
      </c>
      <c r="I16" s="43" t="s">
        <v>38</v>
      </c>
      <c r="J16" s="28" t="s">
        <v>37</v>
      </c>
      <c r="K16" s="30">
        <v>46260</v>
      </c>
      <c r="L16" s="47"/>
      <c r="M16" s="47"/>
      <c r="N16" s="47"/>
      <c r="O16" s="47"/>
      <c r="P16" s="48"/>
      <c r="Q16" s="42"/>
      <c r="R16" s="42">
        <v>46263</v>
      </c>
      <c r="S16" s="44">
        <v>46264</v>
      </c>
      <c r="T16" s="48"/>
      <c r="U16" s="48"/>
      <c r="V16" s="48"/>
      <c r="W16" s="48"/>
      <c r="X16" s="48"/>
      <c r="Y16" s="48"/>
      <c r="Z16" s="48">
        <v>46285</v>
      </c>
      <c r="AA16" s="30">
        <v>46285</v>
      </c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9"/>
      <c r="AR16" s="50"/>
      <c r="AS16" s="50"/>
    </row>
    <row r="17" spans="1:45">
      <c r="A17" s="23">
        <v>12</v>
      </c>
      <c r="B17" s="10" t="s">
        <v>62</v>
      </c>
      <c r="C17" s="24"/>
      <c r="D17" s="12" t="s">
        <v>45</v>
      </c>
      <c r="E17" s="25"/>
      <c r="F17" s="26" t="s">
        <v>63</v>
      </c>
      <c r="G17" s="27" t="s">
        <v>64</v>
      </c>
      <c r="H17" s="52"/>
      <c r="I17" s="29"/>
      <c r="J17" s="28" t="s">
        <v>37</v>
      </c>
      <c r="K17" s="30">
        <v>46260</v>
      </c>
      <c r="L17" s="31"/>
      <c r="M17" s="31"/>
      <c r="N17" s="31"/>
      <c r="O17" s="3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53"/>
      <c r="AR17" s="22"/>
      <c r="AS17" s="22"/>
    </row>
    <row r="18" spans="1:45">
      <c r="A18" s="23">
        <v>13</v>
      </c>
      <c r="B18" s="10" t="s">
        <v>65</v>
      </c>
      <c r="C18" s="24"/>
      <c r="D18" s="12" t="s">
        <v>34</v>
      </c>
      <c r="E18" s="25"/>
      <c r="F18" s="26" t="s">
        <v>66</v>
      </c>
      <c r="G18" s="27" t="s">
        <v>64</v>
      </c>
      <c r="H18" s="28" t="s">
        <v>37</v>
      </c>
      <c r="I18" s="43" t="s">
        <v>38</v>
      </c>
      <c r="J18" s="28" t="s">
        <v>37</v>
      </c>
      <c r="K18" s="30">
        <v>46260</v>
      </c>
      <c r="L18" s="31"/>
      <c r="M18" s="31"/>
      <c r="N18" s="31"/>
      <c r="O18" s="31"/>
      <c r="P18" s="42"/>
      <c r="Q18" s="42"/>
      <c r="R18" s="42">
        <v>46265</v>
      </c>
      <c r="S18" s="54">
        <v>46267</v>
      </c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53"/>
      <c r="AR18" s="22"/>
      <c r="AS18" s="22"/>
    </row>
    <row r="19" spans="1:45" ht="28.5">
      <c r="A19" s="23">
        <v>14</v>
      </c>
      <c r="B19" s="10" t="s">
        <v>67</v>
      </c>
      <c r="C19" s="24" t="s">
        <v>68</v>
      </c>
      <c r="D19" s="12" t="s">
        <v>34</v>
      </c>
      <c r="E19" s="25"/>
      <c r="F19" s="26">
        <v>58.536999999999999</v>
      </c>
      <c r="G19" s="27" t="s">
        <v>64</v>
      </c>
      <c r="H19" s="28" t="s">
        <v>37</v>
      </c>
      <c r="I19" s="29" t="s">
        <v>38</v>
      </c>
      <c r="J19" s="28" t="s">
        <v>37</v>
      </c>
      <c r="K19" s="30">
        <v>46260</v>
      </c>
      <c r="L19" s="31"/>
      <c r="M19" s="31"/>
      <c r="N19" s="31"/>
      <c r="O19" s="31"/>
      <c r="P19" s="42"/>
      <c r="Q19" s="42"/>
      <c r="R19" s="42">
        <v>46269</v>
      </c>
      <c r="S19" s="54">
        <v>46270</v>
      </c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53"/>
      <c r="AR19" s="22"/>
      <c r="AS19" s="22"/>
    </row>
    <row r="20" spans="1:45">
      <c r="A20" s="23">
        <v>15</v>
      </c>
      <c r="B20" s="10" t="s">
        <v>69</v>
      </c>
      <c r="C20" s="24"/>
      <c r="D20" s="12" t="s">
        <v>34</v>
      </c>
      <c r="E20" s="25"/>
      <c r="F20" s="26" t="s">
        <v>70</v>
      </c>
      <c r="G20" s="27" t="s">
        <v>64</v>
      </c>
      <c r="H20" s="52"/>
      <c r="I20" s="29"/>
      <c r="J20" s="28" t="s">
        <v>37</v>
      </c>
      <c r="K20" s="30">
        <v>46260</v>
      </c>
      <c r="L20" s="31"/>
      <c r="M20" s="31"/>
      <c r="N20" s="31"/>
      <c r="O20" s="3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53"/>
      <c r="AR20" s="22"/>
      <c r="AS20" s="22"/>
    </row>
    <row r="21" spans="1:45" ht="28.5">
      <c r="A21" s="23">
        <v>16</v>
      </c>
      <c r="B21" s="10" t="s">
        <v>71</v>
      </c>
      <c r="C21" s="24" t="s">
        <v>72</v>
      </c>
      <c r="D21" s="12" t="s">
        <v>73</v>
      </c>
      <c r="E21" s="25"/>
      <c r="F21" s="26" t="s">
        <v>74</v>
      </c>
      <c r="G21" s="27" t="s">
        <v>64</v>
      </c>
      <c r="H21" s="28" t="s">
        <v>37</v>
      </c>
      <c r="I21" s="29" t="s">
        <v>38</v>
      </c>
      <c r="J21" s="28" t="s">
        <v>37</v>
      </c>
      <c r="K21" s="30">
        <v>46260</v>
      </c>
      <c r="L21" s="31"/>
      <c r="M21" s="31"/>
      <c r="N21" s="31"/>
      <c r="O21" s="31"/>
      <c r="P21" s="42"/>
      <c r="Q21" s="42"/>
      <c r="R21" s="42">
        <v>46271</v>
      </c>
      <c r="S21" s="54">
        <v>46273</v>
      </c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53"/>
      <c r="AR21" s="22"/>
      <c r="AS21" s="22"/>
    </row>
    <row r="22" spans="1:45" ht="28.5">
      <c r="A22" s="23">
        <v>17</v>
      </c>
      <c r="B22" s="10" t="s">
        <v>75</v>
      </c>
      <c r="C22" s="24" t="s">
        <v>76</v>
      </c>
      <c r="D22" s="12" t="s">
        <v>73</v>
      </c>
      <c r="E22" s="25"/>
      <c r="F22" s="26" t="s">
        <v>77</v>
      </c>
      <c r="G22" s="27" t="s">
        <v>64</v>
      </c>
      <c r="H22" s="28" t="s">
        <v>37</v>
      </c>
      <c r="I22" s="29"/>
      <c r="J22" s="28" t="s">
        <v>37</v>
      </c>
      <c r="K22" s="30">
        <v>46260</v>
      </c>
      <c r="L22" s="31"/>
      <c r="M22" s="31"/>
      <c r="N22" s="31"/>
      <c r="O22" s="31"/>
      <c r="P22" s="42"/>
      <c r="Q22" s="42"/>
      <c r="R22" s="54"/>
      <c r="S22" s="54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53"/>
      <c r="AR22" s="22"/>
      <c r="AS22" s="22"/>
    </row>
    <row r="23" spans="1:45">
      <c r="A23" s="23">
        <v>18</v>
      </c>
      <c r="B23" s="10" t="s">
        <v>78</v>
      </c>
      <c r="C23" s="24"/>
      <c r="D23" s="12" t="s">
        <v>59</v>
      </c>
      <c r="E23" s="25"/>
      <c r="F23" s="26" t="s">
        <v>79</v>
      </c>
      <c r="G23" s="27" t="s">
        <v>64</v>
      </c>
      <c r="H23" s="28" t="s">
        <v>37</v>
      </c>
      <c r="I23" s="29"/>
      <c r="J23" s="28" t="s">
        <v>37</v>
      </c>
      <c r="K23" s="30">
        <v>46260</v>
      </c>
      <c r="L23" s="31"/>
      <c r="M23" s="31"/>
      <c r="N23" s="31"/>
      <c r="O23" s="31"/>
      <c r="P23" s="42"/>
      <c r="Q23" s="42"/>
      <c r="R23" s="42">
        <v>46277</v>
      </c>
      <c r="S23" s="55">
        <v>46278</v>
      </c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53"/>
      <c r="AR23" s="22"/>
      <c r="AS23" s="22"/>
    </row>
    <row r="24" spans="1:45" ht="28.5">
      <c r="A24" s="23">
        <v>19</v>
      </c>
      <c r="B24" s="10" t="s">
        <v>80</v>
      </c>
      <c r="C24" s="24" t="s">
        <v>81</v>
      </c>
      <c r="D24" s="12" t="s">
        <v>61</v>
      </c>
      <c r="E24" s="25"/>
      <c r="F24" s="26">
        <v>51.475999999999999</v>
      </c>
      <c r="G24" s="27" t="s">
        <v>64</v>
      </c>
      <c r="H24" s="28" t="s">
        <v>37</v>
      </c>
      <c r="I24" s="29"/>
      <c r="J24" s="28" t="s">
        <v>37</v>
      </c>
      <c r="K24" s="30">
        <v>46260</v>
      </c>
      <c r="L24" s="31"/>
      <c r="M24" s="31"/>
      <c r="N24" s="31"/>
      <c r="O24" s="31"/>
      <c r="P24" s="42"/>
      <c r="Q24" s="42"/>
      <c r="R24" s="42">
        <v>46275</v>
      </c>
      <c r="S24" s="54">
        <v>46277</v>
      </c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53"/>
      <c r="AR24" s="22"/>
      <c r="AS24" s="22"/>
    </row>
    <row r="25" spans="1:45" ht="28.5">
      <c r="A25" s="23">
        <v>20</v>
      </c>
      <c r="B25" s="10" t="s">
        <v>82</v>
      </c>
      <c r="C25" s="24" t="s">
        <v>83</v>
      </c>
      <c r="D25" s="12" t="s">
        <v>34</v>
      </c>
      <c r="E25" s="25"/>
      <c r="F25" s="26">
        <v>51.158000000000001</v>
      </c>
      <c r="G25" s="27" t="s">
        <v>64</v>
      </c>
      <c r="H25" s="52"/>
      <c r="I25" s="29"/>
      <c r="J25" s="28" t="s">
        <v>37</v>
      </c>
      <c r="K25" s="30">
        <v>46260</v>
      </c>
      <c r="L25" s="31"/>
      <c r="M25" s="31"/>
      <c r="N25" s="31"/>
      <c r="O25" s="3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53"/>
      <c r="AR25" s="22"/>
      <c r="AS25" s="22"/>
    </row>
    <row r="26" spans="1:45">
      <c r="A26" s="23">
        <v>21</v>
      </c>
      <c r="B26" s="10" t="s">
        <v>84</v>
      </c>
      <c r="C26" s="24"/>
      <c r="D26" s="12" t="s">
        <v>34</v>
      </c>
      <c r="E26" s="25"/>
      <c r="F26" s="26">
        <v>60.432000000000002</v>
      </c>
      <c r="G26" s="27" t="s">
        <v>35</v>
      </c>
      <c r="H26" s="56"/>
      <c r="I26" s="29"/>
      <c r="J26" s="28" t="s">
        <v>37</v>
      </c>
      <c r="K26" s="30">
        <v>46260</v>
      </c>
      <c r="L26" s="31"/>
      <c r="M26" s="31"/>
      <c r="N26" s="31"/>
      <c r="O26" s="3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53"/>
      <c r="AR26" s="22"/>
      <c r="AS26" s="22"/>
    </row>
    <row r="27" spans="1:45">
      <c r="A27" s="23">
        <v>22</v>
      </c>
      <c r="B27" s="10" t="s">
        <v>85</v>
      </c>
      <c r="C27" s="24"/>
      <c r="D27" s="12" t="s">
        <v>34</v>
      </c>
      <c r="E27" s="25"/>
      <c r="F27" s="26">
        <v>62.81</v>
      </c>
      <c r="G27" s="27" t="s">
        <v>35</v>
      </c>
      <c r="H27" s="28" t="s">
        <v>37</v>
      </c>
      <c r="I27" s="29"/>
      <c r="J27" s="28" t="s">
        <v>37</v>
      </c>
      <c r="K27" s="30">
        <v>46260</v>
      </c>
      <c r="L27" s="31"/>
      <c r="M27" s="31"/>
      <c r="N27" s="31"/>
      <c r="O27" s="31"/>
      <c r="P27" s="42"/>
      <c r="Q27" s="42"/>
      <c r="R27" s="42">
        <v>46278</v>
      </c>
      <c r="S27" s="54">
        <v>46279</v>
      </c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53"/>
      <c r="AR27" s="22"/>
      <c r="AS27" s="22"/>
    </row>
    <row r="28" spans="1:45" ht="16.5">
      <c r="A28" s="23">
        <v>23</v>
      </c>
      <c r="B28" s="10" t="s">
        <v>86</v>
      </c>
      <c r="C28" s="57"/>
      <c r="D28" s="12" t="s">
        <v>42</v>
      </c>
      <c r="E28" s="57"/>
      <c r="F28" s="57"/>
      <c r="G28" s="57"/>
      <c r="H28" s="28" t="s">
        <v>37</v>
      </c>
      <c r="I28" s="29"/>
      <c r="J28" s="28" t="s">
        <v>37</v>
      </c>
      <c r="K28" s="30">
        <v>46260</v>
      </c>
      <c r="L28" s="58"/>
      <c r="M28" s="58"/>
      <c r="N28" s="58"/>
      <c r="O28" s="58"/>
      <c r="P28" s="42"/>
      <c r="Q28" s="42"/>
      <c r="R28" s="54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53"/>
      <c r="AR28" s="22"/>
      <c r="AS28" s="22"/>
    </row>
    <row r="29" spans="1:45" ht="16.5">
      <c r="A29" s="59">
        <v>24</v>
      </c>
      <c r="B29" s="60" t="s">
        <v>87</v>
      </c>
      <c r="C29" s="61"/>
      <c r="D29" s="62" t="s">
        <v>61</v>
      </c>
      <c r="E29" s="61"/>
      <c r="F29" s="61"/>
      <c r="G29" s="61"/>
      <c r="H29" s="28" t="s">
        <v>37</v>
      </c>
      <c r="I29" s="63"/>
      <c r="J29" s="28" t="s">
        <v>37</v>
      </c>
      <c r="K29" s="30">
        <v>46260</v>
      </c>
      <c r="L29" s="64"/>
      <c r="M29" s="64"/>
      <c r="N29" s="64"/>
      <c r="O29" s="64"/>
      <c r="P29" s="65"/>
      <c r="Q29" s="65"/>
      <c r="R29" s="66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7"/>
      <c r="AR29" s="22"/>
      <c r="AS29" s="22"/>
    </row>
    <row r="30" spans="1:45">
      <c r="A30" s="24">
        <v>25</v>
      </c>
      <c r="B30" s="10" t="s">
        <v>88</v>
      </c>
      <c r="C30" s="57"/>
      <c r="D30" s="12" t="s">
        <v>34</v>
      </c>
      <c r="E30" s="57"/>
      <c r="F30" s="57"/>
      <c r="G30" s="57"/>
      <c r="H30" s="28" t="s">
        <v>37</v>
      </c>
      <c r="I30" s="68"/>
      <c r="J30" s="28" t="s">
        <v>37</v>
      </c>
      <c r="K30" s="30">
        <v>46260</v>
      </c>
      <c r="L30" s="68"/>
      <c r="M30" s="68"/>
      <c r="N30" s="68"/>
      <c r="O30" s="68"/>
      <c r="P30" s="68"/>
      <c r="Q30" s="68"/>
      <c r="R30" s="42">
        <v>46283</v>
      </c>
      <c r="S30" s="42">
        <v>46285</v>
      </c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22"/>
      <c r="AS30" s="22"/>
    </row>
    <row r="31" spans="1:45">
      <c r="A31" s="24">
        <v>26</v>
      </c>
      <c r="B31" s="10" t="s">
        <v>89</v>
      </c>
      <c r="C31" s="57"/>
      <c r="D31" s="12" t="s">
        <v>34</v>
      </c>
      <c r="E31" s="57"/>
      <c r="F31" s="57"/>
      <c r="G31" s="57"/>
      <c r="H31" s="68"/>
      <c r="I31" s="68"/>
      <c r="J31" s="28" t="s">
        <v>37</v>
      </c>
      <c r="K31" s="30">
        <v>46260</v>
      </c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22"/>
      <c r="AS31" s="22"/>
    </row>
    <row r="32" spans="1:45">
      <c r="A32" s="24">
        <v>27</v>
      </c>
      <c r="B32" s="10" t="s">
        <v>90</v>
      </c>
      <c r="C32" s="57"/>
      <c r="D32" s="12" t="s">
        <v>34</v>
      </c>
      <c r="E32" s="57"/>
      <c r="F32" s="57"/>
      <c r="G32" s="57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22"/>
      <c r="AS32" s="22"/>
    </row>
    <row r="33" spans="1:45" ht="30">
      <c r="A33" s="24">
        <v>28</v>
      </c>
      <c r="B33" s="69" t="s">
        <v>91</v>
      </c>
      <c r="C33" s="57"/>
      <c r="D33" s="12" t="s">
        <v>34</v>
      </c>
      <c r="E33" s="57"/>
      <c r="F33" s="57"/>
      <c r="G33" s="57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22"/>
      <c r="AS33" s="22"/>
    </row>
    <row r="34" spans="1:45"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</row>
    <row r="35" spans="1:45"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</row>
    <row r="36" spans="1:45"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</row>
    <row r="37" spans="1:45"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</row>
  </sheetData>
  <mergeCells count="20">
    <mergeCell ref="N2:O3"/>
    <mergeCell ref="P2:S3"/>
    <mergeCell ref="T2:W3"/>
    <mergeCell ref="X2:AA3"/>
    <mergeCell ref="A1:AQ1"/>
    <mergeCell ref="A2:A4"/>
    <mergeCell ref="B2:B4"/>
    <mergeCell ref="C2:C4"/>
    <mergeCell ref="D2:D4"/>
    <mergeCell ref="E2:E4"/>
    <mergeCell ref="F2:F3"/>
    <mergeCell ref="G2:G4"/>
    <mergeCell ref="H2:H4"/>
    <mergeCell ref="I2:I4"/>
    <mergeCell ref="AB2:AE3"/>
    <mergeCell ref="AF2:AI3"/>
    <mergeCell ref="AJ2:AM3"/>
    <mergeCell ref="AN2:AQ3"/>
    <mergeCell ref="J2:K3"/>
    <mergeCell ref="L2:M3"/>
  </mergeCells>
  <pageMargins left="0.7" right="0.7" top="0.75" bottom="0.75" header="0.3" footer="0.3"/>
  <pageSetup paperSize="13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Tanishk Sharma</dc:creator>
  <cp:keywords/>
  <dc:description/>
  <cp:lastModifiedBy/>
  <cp:revision/>
  <dcterms:created xsi:type="dcterms:W3CDTF">2026-09-21T09:21:33Z</dcterms:created>
  <dcterms:modified xsi:type="dcterms:W3CDTF">2026-09-22T07:14:29Z</dcterms:modified>
  <cp:category/>
  <cp:contentStatus/>
</cp:coreProperties>
</file>