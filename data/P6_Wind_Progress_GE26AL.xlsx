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PR Latest\data\"/>
    </mc:Choice>
  </mc:AlternateContent>
  <xr:revisionPtr revIDLastSave="0" documentId="11_388520E415595C67DB5295D14C5ED87656CDD3A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wise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F15" i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E15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E5" i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</calcChain>
</file>

<file path=xl/sharedStrings.xml><?xml version="1.0" encoding="utf-8"?>
<sst xmlns="http://schemas.openxmlformats.org/spreadsheetml/2006/main" count="37" uniqueCount="35">
  <si>
    <t>AGE26AL PSS-12 (27 Loc.) &amp; PSS-14 (60 Loc.) MONTHLY PERFORMANCE STATUS</t>
  </si>
  <si>
    <t>Sr No</t>
  </si>
  <si>
    <t>Activity</t>
  </si>
  <si>
    <t>Resources &amp; Work Done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</si>
  <si>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</si>
  <si>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</si>
  <si>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</si>
  <si>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</si>
  <si>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</si>
  <si>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</si>
  <si>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</si>
  <si>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</si>
  <si>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</si>
  <si>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</si>
  <si>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</si>
  <si>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</si>
  <si>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</si>
  <si>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</si>
  <si>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</si>
  <si>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Stone Column</t>
  </si>
  <si>
    <t>Rigs</t>
  </si>
  <si>
    <t>No of Columns</t>
  </si>
  <si>
    <t>Cumm SC</t>
  </si>
  <si>
    <t>Productivity</t>
  </si>
  <si>
    <t>WTG Foundation</t>
  </si>
  <si>
    <t>Gangs</t>
  </si>
  <si>
    <t>No of Foundations</t>
  </si>
  <si>
    <t>Cumm Foundations</t>
  </si>
  <si>
    <t>WTG Erection</t>
  </si>
  <si>
    <t>Cranes Packages</t>
  </si>
  <si>
    <t>No of Erections</t>
  </si>
  <si>
    <t>Cumm Erection</t>
  </si>
  <si>
    <t>WTG Commissioning</t>
  </si>
  <si>
    <t>Commissioning</t>
  </si>
  <si>
    <t>Cumm Commissioning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</si>
</sst>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0" fillId="0" borderId="1" xfId="0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9"/>
  <sheetViews>
    <sheetView tabSelected="1" workbookViewId="0"/>
  </sheetViews>
  <sheetFormatPr defaultRowHeight="14.4" x14ac:dyDescent="0.3"/>
  <cols>
    <col min="1" max="1" width="3" customWidth="1"/>
    <col min="2" max="2" width="8" customWidth="1"/>
    <col min="3" max="3" width="20" customWidth="1"/>
    <col min="4" max="4" width="22" customWidth="1"/>
    <col min="5" max="19" width="12" customWidth="1"/>
  </cols>
  <sheetData>
    <row r="1" spans="2:19" ht="18" x14ac:dyDescent="0.35"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2:19" ht="15.6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2:19" x14ac:dyDescent="0.3">
      <c r="B3" s="2">
        <v>1</v>
      </c>
      <c r="C3" s="3" t="s">
        <v>19</v>
      </c>
      <c r="D3" s="4" t="s">
        <v>20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2:19" x14ac:dyDescent="0.3">
      <c r="D4" s="4" t="s">
        <v>21</v>
      </c>
      <c r="E4" s="2">
        <v>9</v>
      </c>
      <c r="F4" s="2">
        <v>9</v>
      </c>
      <c r="G4" s="2">
        <v>18</v>
      </c>
      <c r="H4" s="2">
        <v>9</v>
      </c>
      <c r="I4" s="2">
        <v>3</v>
      </c>
      <c r="J4" s="2">
        <v>4</v>
      </c>
      <c r="K4" s="2">
        <v>6</v>
      </c>
      <c r="L4" s="2">
        <v>15</v>
      </c>
      <c r="M4" s="2">
        <v>6</v>
      </c>
      <c r="N4" s="2">
        <v>5</v>
      </c>
      <c r="O4" s="2">
        <v>1</v>
      </c>
      <c r="P4" s="2">
        <v>2</v>
      </c>
      <c r="Q4" s="2"/>
      <c r="R4" s="2"/>
      <c r="S4" s="2"/>
    </row>
    <row r="5" spans="2:19" x14ac:dyDescent="0.3">
      <c r="D5" s="4" t="s">
        <v>22</v>
      </c>
      <c r="E5" s="2">
        <f>E4</f>
        <v>9</v>
      </c>
      <c r="F5" s="2">
        <f t="shared" ref="F5:S5" si="0">E5+F4</f>
        <v>18</v>
      </c>
      <c r="G5" s="2">
        <f t="shared" si="0"/>
        <v>36</v>
      </c>
      <c r="H5" s="2">
        <f t="shared" si="0"/>
        <v>45</v>
      </c>
      <c r="I5" s="2">
        <f t="shared" si="0"/>
        <v>48</v>
      </c>
      <c r="J5" s="2">
        <f t="shared" si="0"/>
        <v>52</v>
      </c>
      <c r="K5" s="2">
        <f t="shared" si="0"/>
        <v>58</v>
      </c>
      <c r="L5" s="2">
        <f t="shared" si="0"/>
        <v>73</v>
      </c>
      <c r="M5" s="2">
        <f t="shared" si="0"/>
        <v>79</v>
      </c>
      <c r="N5" s="2">
        <f t="shared" si="0"/>
        <v>84</v>
      </c>
      <c r="O5" s="2">
        <f t="shared" si="0"/>
        <v>85</v>
      </c>
      <c r="P5" s="2">
        <f t="shared" si="0"/>
        <v>87</v>
      </c>
      <c r="Q5" s="2">
        <f t="shared" si="0"/>
        <v>87</v>
      </c>
      <c r="R5" s="2">
        <f t="shared" si="0"/>
        <v>87</v>
      </c>
      <c r="S5" s="2">
        <f t="shared" si="0"/>
        <v>87</v>
      </c>
    </row>
    <row r="6" spans="2:19" x14ac:dyDescent="0.3">
      <c r="D6" s="4" t="s">
        <v>23</v>
      </c>
      <c r="E6" s="2" t="str">
        <f t="shared" ref="E6:S6" si="1">IFERROR(ROUND(E4/E3,2),"-")</f>
        <v>-</v>
      </c>
      <c r="F6" s="2" t="str">
        <f t="shared" si="1"/>
        <v>-</v>
      </c>
      <c r="G6" s="2" t="str">
        <f t="shared" si="1"/>
        <v>-</v>
      </c>
      <c r="H6" s="2" t="str">
        <f t="shared" si="1"/>
        <v>-</v>
      </c>
      <c r="I6" s="2" t="str">
        <f t="shared" si="1"/>
        <v>-</v>
      </c>
      <c r="J6" s="2" t="str">
        <f t="shared" si="1"/>
        <v>-</v>
      </c>
      <c r="K6" s="2" t="str">
        <f t="shared" si="1"/>
        <v>-</v>
      </c>
      <c r="L6" s="2" t="str">
        <f t="shared" si="1"/>
        <v>-</v>
      </c>
      <c r="M6" s="2" t="str">
        <f t="shared" si="1"/>
        <v>-</v>
      </c>
      <c r="N6" s="2" t="str">
        <f t="shared" si="1"/>
        <v>-</v>
      </c>
      <c r="O6" s="2" t="str">
        <f t="shared" si="1"/>
        <v>-</v>
      </c>
      <c r="P6" s="2" t="str">
        <f t="shared" si="1"/>
        <v>-</v>
      </c>
      <c r="Q6" s="2" t="str">
        <f t="shared" si="1"/>
        <v>-</v>
      </c>
      <c r="R6" s="2" t="str">
        <f t="shared" si="1"/>
        <v>-</v>
      </c>
      <c r="S6" s="2" t="str">
        <f t="shared" si="1"/>
        <v>-</v>
      </c>
    </row>
    <row r="8" spans="2:19" x14ac:dyDescent="0.3">
      <c r="B8" s="2">
        <v>2</v>
      </c>
      <c r="C8" s="3" t="s">
        <v>24</v>
      </c>
      <c r="D8" s="4" t="s">
        <v>25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2:19" x14ac:dyDescent="0.3">
      <c r="D9" s="4" t="s">
        <v>26</v>
      </c>
      <c r="E9" s="2"/>
      <c r="F9" s="2">
        <v>1</v>
      </c>
      <c r="G9" s="2">
        <v>2</v>
      </c>
      <c r="H9" s="2"/>
      <c r="I9" s="2">
        <v>2</v>
      </c>
      <c r="J9" s="2">
        <v>2</v>
      </c>
      <c r="K9" s="2">
        <v>7</v>
      </c>
      <c r="L9" s="2">
        <v>6</v>
      </c>
      <c r="M9" s="2">
        <v>10</v>
      </c>
      <c r="N9" s="2">
        <v>18</v>
      </c>
      <c r="O9" s="2">
        <v>20</v>
      </c>
      <c r="P9" s="2">
        <v>10</v>
      </c>
      <c r="Q9" s="2">
        <v>7</v>
      </c>
      <c r="R9" s="2">
        <v>1</v>
      </c>
      <c r="S9" s="2"/>
    </row>
    <row r="10" spans="2:19" x14ac:dyDescent="0.3">
      <c r="D10" s="4" t="s">
        <v>27</v>
      </c>
      <c r="E10" s="2">
        <f>E9</f>
        <v>0</v>
      </c>
      <c r="F10" s="2">
        <f t="shared" ref="F10:S10" si="2">E10+F9</f>
        <v>1</v>
      </c>
      <c r="G10" s="2">
        <f t="shared" si="2"/>
        <v>3</v>
      </c>
      <c r="H10" s="2">
        <f t="shared" si="2"/>
        <v>3</v>
      </c>
      <c r="I10" s="2">
        <f t="shared" si="2"/>
        <v>5</v>
      </c>
      <c r="J10" s="2">
        <f t="shared" si="2"/>
        <v>7</v>
      </c>
      <c r="K10" s="2">
        <f t="shared" si="2"/>
        <v>14</v>
      </c>
      <c r="L10" s="2">
        <f t="shared" si="2"/>
        <v>20</v>
      </c>
      <c r="M10" s="2">
        <f t="shared" si="2"/>
        <v>30</v>
      </c>
      <c r="N10" s="2">
        <f t="shared" si="2"/>
        <v>48</v>
      </c>
      <c r="O10" s="2">
        <f t="shared" si="2"/>
        <v>68</v>
      </c>
      <c r="P10" s="2">
        <f t="shared" si="2"/>
        <v>78</v>
      </c>
      <c r="Q10" s="2">
        <f t="shared" si="2"/>
        <v>85</v>
      </c>
      <c r="R10" s="2">
        <f t="shared" si="2"/>
        <v>86</v>
      </c>
      <c r="S10" s="2">
        <f t="shared" si="2"/>
        <v>86</v>
      </c>
    </row>
    <row r="11" spans="2:19" x14ac:dyDescent="0.3">
      <c r="D11" s="4" t="s">
        <v>23</v>
      </c>
      <c r="E11" s="2" t="str">
        <f t="shared" ref="E11:S11" si="3">IFERROR(ROUND(E9/E8,2),"-")</f>
        <v>-</v>
      </c>
      <c r="F11" s="2" t="str">
        <f t="shared" si="3"/>
        <v>-</v>
      </c>
      <c r="G11" s="2" t="str">
        <f t="shared" si="3"/>
        <v>-</v>
      </c>
      <c r="H11" s="2" t="str">
        <f t="shared" si="3"/>
        <v>-</v>
      </c>
      <c r="I11" s="2" t="str">
        <f t="shared" si="3"/>
        <v>-</v>
      </c>
      <c r="J11" s="2" t="str">
        <f t="shared" si="3"/>
        <v>-</v>
      </c>
      <c r="K11" s="2" t="str">
        <f t="shared" si="3"/>
        <v>-</v>
      </c>
      <c r="L11" s="2" t="str">
        <f t="shared" si="3"/>
        <v>-</v>
      </c>
      <c r="M11" s="2" t="str">
        <f t="shared" si="3"/>
        <v>-</v>
      </c>
      <c r="N11" s="2" t="str">
        <f t="shared" si="3"/>
        <v>-</v>
      </c>
      <c r="O11" s="2" t="str">
        <f t="shared" si="3"/>
        <v>-</v>
      </c>
      <c r="P11" s="2" t="str">
        <f t="shared" si="3"/>
        <v>-</v>
      </c>
      <c r="Q11" s="2" t="str">
        <f t="shared" si="3"/>
        <v>-</v>
      </c>
      <c r="R11" s="2" t="str">
        <f t="shared" si="3"/>
        <v>-</v>
      </c>
      <c r="S11" s="2" t="str">
        <f t="shared" si="3"/>
        <v>-</v>
      </c>
    </row>
    <row r="13" spans="2:19" x14ac:dyDescent="0.3">
      <c r="B13" s="2">
        <v>3</v>
      </c>
      <c r="C13" s="3" t="s">
        <v>28</v>
      </c>
      <c r="D13" s="4" t="s">
        <v>29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3">
      <c r="D14" s="4" t="s">
        <v>30</v>
      </c>
      <c r="E14" s="2"/>
      <c r="F14" s="2"/>
      <c r="G14" s="2"/>
      <c r="H14" s="2"/>
      <c r="I14" s="2"/>
      <c r="J14" s="2"/>
      <c r="K14" s="2"/>
      <c r="L14" s="2"/>
      <c r="M14" s="2">
        <v>1</v>
      </c>
      <c r="N14" s="2">
        <v>10</v>
      </c>
      <c r="O14" s="2">
        <v>13</v>
      </c>
      <c r="P14" s="2">
        <v>12</v>
      </c>
      <c r="Q14" s="2">
        <v>11</v>
      </c>
      <c r="R14" s="2">
        <v>7</v>
      </c>
      <c r="S14" s="2">
        <v>4</v>
      </c>
    </row>
    <row r="15" spans="2:19" x14ac:dyDescent="0.3">
      <c r="D15" s="4" t="s">
        <v>31</v>
      </c>
      <c r="E15" s="2">
        <f>E14</f>
        <v>0</v>
      </c>
      <c r="F15" s="2">
        <f t="shared" ref="F15:S15" si="4">E15+F14</f>
        <v>0</v>
      </c>
      <c r="G15" s="2">
        <f t="shared" si="4"/>
        <v>0</v>
      </c>
      <c r="H15" s="2">
        <f t="shared" si="4"/>
        <v>0</v>
      </c>
      <c r="I15" s="2">
        <f t="shared" si="4"/>
        <v>0</v>
      </c>
      <c r="J15" s="2">
        <f t="shared" si="4"/>
        <v>0</v>
      </c>
      <c r="K15" s="2">
        <f t="shared" si="4"/>
        <v>0</v>
      </c>
      <c r="L15" s="2">
        <f t="shared" si="4"/>
        <v>0</v>
      </c>
      <c r="M15" s="2">
        <f t="shared" si="4"/>
        <v>1</v>
      </c>
      <c r="N15" s="2">
        <f t="shared" si="4"/>
        <v>11</v>
      </c>
      <c r="O15" s="2">
        <f t="shared" si="4"/>
        <v>24</v>
      </c>
      <c r="P15" s="2">
        <f t="shared" si="4"/>
        <v>36</v>
      </c>
      <c r="Q15" s="2">
        <f t="shared" si="4"/>
        <v>47</v>
      </c>
      <c r="R15" s="2">
        <f t="shared" si="4"/>
        <v>54</v>
      </c>
      <c r="S15" s="2">
        <f t="shared" si="4"/>
        <v>58</v>
      </c>
    </row>
    <row r="16" spans="2:19" x14ac:dyDescent="0.3">
      <c r="D16" s="4" t="s">
        <v>23</v>
      </c>
      <c r="E16" s="2" t="str">
        <f t="shared" ref="E16:S16" si="5">IFERROR(ROUND(E14/E13,2),"-")</f>
        <v>-</v>
      </c>
      <c r="F16" s="2" t="str">
        <f t="shared" si="5"/>
        <v>-</v>
      </c>
      <c r="G16" s="2" t="str">
        <f t="shared" si="5"/>
        <v>-</v>
      </c>
      <c r="H16" s="2" t="str">
        <f t="shared" si="5"/>
        <v>-</v>
      </c>
      <c r="I16" s="2" t="str">
        <f t="shared" si="5"/>
        <v>-</v>
      </c>
      <c r="J16" s="2" t="str">
        <f t="shared" si="5"/>
        <v>-</v>
      </c>
      <c r="K16" s="2" t="str">
        <f t="shared" si="5"/>
        <v>-</v>
      </c>
      <c r="L16" s="2" t="str">
        <f t="shared" si="5"/>
        <v>-</v>
      </c>
      <c r="M16" s="2" t="str">
        <f t="shared" si="5"/>
        <v>-</v>
      </c>
      <c r="N16" s="2" t="str">
        <f t="shared" si="5"/>
        <v>-</v>
      </c>
      <c r="O16" s="2" t="str">
        <f t="shared" si="5"/>
        <v>-</v>
      </c>
      <c r="P16" s="2" t="str">
        <f t="shared" si="5"/>
        <v>-</v>
      </c>
      <c r="Q16" s="2" t="str">
        <f t="shared" si="5"/>
        <v>-</v>
      </c>
      <c r="R16" s="2" t="str">
        <f t="shared" si="5"/>
        <v>-</v>
      </c>
      <c r="S16" s="2" t="str">
        <f t="shared" si="5"/>
        <v>-</v>
      </c>
    </row>
    <row r="18" spans="2:19" x14ac:dyDescent="0.3">
      <c r="B18" s="2">
        <v>4</v>
      </c>
      <c r="C18" s="3" t="s">
        <v>32</v>
      </c>
      <c r="D18" s="4" t="s">
        <v>33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29</v>
      </c>
      <c r="Q18" s="2">
        <v>17</v>
      </c>
      <c r="R18" s="2">
        <v>6</v>
      </c>
      <c r="S18" s="2"/>
    </row>
    <row r="19" spans="2:19" x14ac:dyDescent="0.3">
      <c r="D19" s="4" t="s">
        <v>34</v>
      </c>
      <c r="E19" s="2">
        <f>E18</f>
        <v>0</v>
      </c>
      <c r="F19" s="2">
        <f t="shared" ref="F19:S19" si="6">E19+F18</f>
        <v>0</v>
      </c>
      <c r="G19" s="2">
        <f t="shared" si="6"/>
        <v>0</v>
      </c>
      <c r="H19" s="2">
        <f t="shared" si="6"/>
        <v>0</v>
      </c>
      <c r="I19" s="2">
        <f t="shared" si="6"/>
        <v>0</v>
      </c>
      <c r="J19" s="2">
        <f t="shared" si="6"/>
        <v>0</v>
      </c>
      <c r="K19" s="2">
        <f t="shared" si="6"/>
        <v>0</v>
      </c>
      <c r="L19" s="2">
        <f t="shared" si="6"/>
        <v>0</v>
      </c>
      <c r="M19" s="2">
        <f t="shared" si="6"/>
        <v>0</v>
      </c>
      <c r="N19" s="2">
        <f t="shared" si="6"/>
        <v>0</v>
      </c>
      <c r="O19" s="2">
        <f t="shared" si="6"/>
        <v>0</v>
      </c>
      <c r="P19" s="2">
        <f t="shared" si="6"/>
        <v>29</v>
      </c>
      <c r="Q19" s="2">
        <f t="shared" si="6"/>
        <v>46</v>
      </c>
      <c r="R19" s="2">
        <f t="shared" si="6"/>
        <v>52</v>
      </c>
      <c r="S19" s="2">
        <f t="shared" si="6"/>
        <v>52</v>
      </c>
    </row>
  </sheetData>
  <mergeCells count="1">
    <mergeCell ref="B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Monthwise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Nikitha Manubothu</cp:lastModifiedBy>
  <dcterms:created xsi:type="dcterms:W3CDTF">2026-06-15T10:46:28Z</dcterms:created>
  <dcterms:modified xsi:type="dcterms:W3CDTF">2026-06-15T10:48:35Z</dcterms:modified>
</cp:coreProperties>
</file>