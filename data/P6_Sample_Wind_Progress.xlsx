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6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Feb-25</t>
        </is>
      </c>
      <c r="C1" s="1" t="inlineStr">
        <is>
          <t>Mar-25</t>
        </is>
      </c>
      <c r="D1" s="1" t="inlineStr">
        <is>
          <t>Jun-25</t>
        </is>
      </c>
      <c r="E1" s="1" t="inlineStr">
        <is>
          <t>Jul-25</t>
        </is>
      </c>
      <c r="F1" s="1" t="inlineStr">
        <is>
          <t>Aug-25</t>
        </is>
      </c>
    </row>
    <row r="2">
      <c r="A2" t="inlineStr">
        <is>
          <t>Stone Column</t>
        </is>
      </c>
      <c r="B2" t="inlineStr"/>
      <c r="C2" t="inlineStr"/>
      <c r="D2" t="inlineStr"/>
      <c r="E2" t="inlineStr"/>
      <c r="F2" t="inlineStr"/>
    </row>
    <row r="3">
      <c r="A3" t="inlineStr">
        <is>
          <t>Rigs</t>
        </is>
      </c>
      <c r="B3" t="inlineStr"/>
      <c r="C3" t="inlineStr"/>
      <c r="D3" t="inlineStr"/>
      <c r="E3" t="inlineStr"/>
      <c r="F3" t="inlineStr"/>
    </row>
    <row r="4">
      <c r="A4" t="inlineStr">
        <is>
          <t>No of Columns</t>
        </is>
      </c>
      <c r="B4" t="n">
        <v>1</v>
      </c>
      <c r="C4" t="n">
        <v>4</v>
      </c>
      <c r="D4" t="inlineStr"/>
      <c r="E4" t="inlineStr"/>
      <c r="F4" t="inlineStr"/>
    </row>
    <row r="5">
      <c r="A5" t="inlineStr">
        <is>
          <t>Cumm SC</t>
        </is>
      </c>
      <c r="B5">
        <f>B4</f>
        <v/>
      </c>
      <c r="C5">
        <f>B5+C4</f>
        <v/>
      </c>
      <c r="D5">
        <f>C5+D4</f>
        <v/>
      </c>
      <c r="E5">
        <f>D5+E4</f>
        <v/>
      </c>
      <c r="F5">
        <f>E5+F4</f>
        <v/>
      </c>
    </row>
    <row r="6">
      <c r="A6" t="inlineStr">
        <is>
          <t>Productivity</t>
        </is>
      </c>
      <c r="B6">
        <f>IFERROR(ROUND(B4/B3, 2), "-")</f>
        <v/>
      </c>
      <c r="C6">
        <f>IFERROR(ROUND(C4/C3, 2), "-")</f>
        <v/>
      </c>
      <c r="D6">
        <f>IFERROR(ROUND(D4/D3, 2), "-")</f>
        <v/>
      </c>
      <c r="E6">
        <f>IFERROR(ROUND(E4/E3, 2), "-")</f>
        <v/>
      </c>
      <c r="F6">
        <f>IFERROR(ROUND(F4/F3, 2), "-")</f>
        <v/>
      </c>
    </row>
    <row r="7">
      <c r="A7" t="inlineStr"/>
      <c r="B7" t="inlineStr"/>
      <c r="C7" t="inlineStr"/>
      <c r="D7" t="inlineStr"/>
      <c r="E7" t="inlineStr"/>
      <c r="F7" t="inlineStr"/>
    </row>
    <row r="8">
      <c r="A8" t="inlineStr">
        <is>
          <t>WTG Foundation</t>
        </is>
      </c>
      <c r="B8" t="inlineStr"/>
      <c r="C8" t="inlineStr"/>
      <c r="D8" t="inlineStr"/>
      <c r="E8" t="inlineStr"/>
      <c r="F8" t="inlineStr"/>
    </row>
    <row r="9">
      <c r="A9" t="inlineStr">
        <is>
          <t>Gangs</t>
        </is>
      </c>
      <c r="B9" t="inlineStr"/>
      <c r="C9" t="inlineStr"/>
      <c r="D9" t="inlineStr"/>
      <c r="E9" t="inlineStr"/>
      <c r="F9" t="inlineStr"/>
    </row>
    <row r="10">
      <c r="A10" t="inlineStr">
        <is>
          <t>No of Foundations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Cumm Foundations</t>
        </is>
      </c>
      <c r="B11">
        <f>B10</f>
        <v/>
      </c>
      <c r="C11">
        <f>B11+C10</f>
        <v/>
      </c>
      <c r="D11">
        <f>C11+D10</f>
        <v/>
      </c>
      <c r="E11">
        <f>D11+E10</f>
        <v/>
      </c>
      <c r="F11">
        <f>E11+F10</f>
        <v/>
      </c>
    </row>
    <row r="12">
      <c r="A12" t="inlineStr">
        <is>
          <t>Productivity</t>
        </is>
      </c>
      <c r="B12">
        <f>IFERROR(ROUND(B10/B9, 2), "-")</f>
        <v/>
      </c>
      <c r="C12">
        <f>IFERROR(ROUND(C10/C9, 2), "-")</f>
        <v/>
      </c>
      <c r="D12">
        <f>IFERROR(ROUND(D10/D9, 2), "-")</f>
        <v/>
      </c>
      <c r="E12">
        <f>IFERROR(ROUND(E10/E9, 2), "-")</f>
        <v/>
      </c>
      <c r="F12">
        <f>IFERROR(ROUND(F10/F9, 2), "-")</f>
        <v/>
      </c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WTG Erection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Cranes Packages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No of Erections</t>
        </is>
      </c>
      <c r="B16" t="inlineStr"/>
      <c r="C16" t="inlineStr"/>
      <c r="D16" t="n">
        <v>30</v>
      </c>
      <c r="E16" t="n">
        <v>2</v>
      </c>
      <c r="F16" t="inlineStr"/>
    </row>
    <row r="17">
      <c r="A17" t="inlineStr">
        <is>
          <t>Cumm Erection</t>
        </is>
      </c>
      <c r="B17">
        <f>B16</f>
        <v/>
      </c>
      <c r="C17">
        <f>B17+C16</f>
        <v/>
      </c>
      <c r="D17">
        <f>C17+D16</f>
        <v/>
      </c>
      <c r="E17">
        <f>D17+E16</f>
        <v/>
      </c>
      <c r="F17">
        <f>E17+F16</f>
        <v/>
      </c>
    </row>
    <row r="18">
      <c r="A18" t="inlineStr">
        <is>
          <t>Productivity</t>
        </is>
      </c>
      <c r="B18">
        <f>IFERROR(ROUND(B16/B15, 2), "-")</f>
        <v/>
      </c>
      <c r="C18">
        <f>IFERROR(ROUND(C16/C15, 2), "-")</f>
        <v/>
      </c>
      <c r="D18">
        <f>IFERROR(ROUND(D16/D15, 2), "-")</f>
        <v/>
      </c>
      <c r="E18">
        <f>IFERROR(ROUND(E16/E15, 2), "-")</f>
        <v/>
      </c>
      <c r="F18">
        <f>IFERROR(ROUND(F16/F15, 2), "-")</f>
        <v/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WTG Commissioning</t>
        </is>
      </c>
      <c r="B20" t="inlineStr"/>
      <c r="C20" t="inlineStr"/>
      <c r="D20" t="inlineStr"/>
      <c r="E20" t="inlineStr"/>
      <c r="F20" t="inlineStr"/>
    </row>
    <row r="21">
      <c r="A21" t="inlineStr">
        <is>
          <t>Commissioning</t>
        </is>
      </c>
      <c r="B21" t="inlineStr"/>
      <c r="C21" t="inlineStr"/>
      <c r="D21" t="inlineStr"/>
      <c r="E21" t="inlineStr"/>
      <c r="F21" t="n">
        <v>5</v>
      </c>
    </row>
    <row r="22">
      <c r="A22" t="inlineStr">
        <is>
          <t>Cumm Commissioning</t>
        </is>
      </c>
      <c r="B22">
        <f>B21</f>
        <v/>
      </c>
      <c r="C22">
        <f>B22+C21</f>
        <v/>
      </c>
      <c r="D22">
        <f>C22+D21</f>
        <v/>
      </c>
      <c r="E22">
        <f>D22+E21</f>
        <v/>
      </c>
      <c r="F22">
        <f>E22+F21</f>
        <v/>
      </c>
    </row>
    <row r="23">
      <c r="A23" t="inlineStr">
        <is>
          <t>Resources &amp; Work Done</t>
        </is>
      </c>
      <c r="B23" t="inlineStr"/>
      <c r="C23" t="inlineStr"/>
      <c r="D23" t="inlineStr"/>
      <c r="E23" t="inlineStr"/>
      <c r="F23" t="inlineStr"/>
    </row>
    <row r="24">
      <c r="A24" t="inlineStr"/>
      <c r="B24" t="inlineStr"/>
      <c r="C24" t="inlineStr"/>
      <c r="D24" t="inlineStr"/>
      <c r="E24" t="inlineStr"/>
      <c r="F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2026-06-15T08:13:52Z</dcterms:created>
  <dcterms:modified xmlns:dcterms="http://purl.org/dc/terms/" xmlns:xsi="http://www.w3.org/2001/XMLSchema-instance" xsi:type="dcterms:W3CDTF">2026-06-15T08:13:52Z</dcterms:modified>
</cp:coreProperties>
</file>