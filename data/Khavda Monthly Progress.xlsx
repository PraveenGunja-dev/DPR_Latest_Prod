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ikitha\Downloads\"/>
    </mc:Choice>
  </mc:AlternateContent>
  <xr:revisionPtr revIDLastSave="0" documentId="13_ncr:1_{F85EF47E-068C-4AFC-B776-A929C9007F50}" xr6:coauthVersionLast="47" xr6:coauthVersionMax="47" xr10:uidLastSave="{00000000-0000-0000-0000-000000000000}"/>
  <bookViews>
    <workbookView xWindow="-108" yWindow="-108" windowWidth="23256" windowHeight="12456" xr2:uid="{4EE3770A-F30C-4DDB-8F3F-8F6BE3CA0628}"/>
  </bookViews>
  <sheets>
    <sheet name="Monthwise Detail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2" i="1" l="1"/>
  <c r="S26" i="1"/>
  <c r="S30" i="1"/>
  <c r="E18" i="1" l="1"/>
  <c r="Q22" i="1"/>
  <c r="Q26" i="1"/>
  <c r="Q31" i="1" l="1"/>
  <c r="P30" i="1"/>
  <c r="P26" i="1"/>
  <c r="P22" i="1"/>
  <c r="Q14" i="1" l="1"/>
  <c r="P14" i="1"/>
  <c r="O14" i="1"/>
  <c r="N14" i="1"/>
  <c r="M14" i="1"/>
  <c r="Q10" i="1"/>
  <c r="P10" i="1"/>
  <c r="O10" i="1"/>
  <c r="N10" i="1"/>
  <c r="M10" i="1"/>
  <c r="L10" i="1"/>
  <c r="I10" i="1"/>
  <c r="H10" i="1"/>
  <c r="G10" i="1"/>
  <c r="Q6" i="1"/>
  <c r="P6" i="1"/>
  <c r="O6" i="1"/>
  <c r="N6" i="1"/>
  <c r="M6" i="1"/>
  <c r="L6" i="1"/>
  <c r="K6" i="1"/>
  <c r="J6" i="1"/>
  <c r="I6" i="1"/>
  <c r="H6" i="1"/>
  <c r="G6" i="1"/>
  <c r="F6" i="1"/>
  <c r="E6" i="1"/>
  <c r="O22" i="1" l="1"/>
  <c r="O26" i="1"/>
  <c r="O30" i="1"/>
  <c r="N30" i="1"/>
  <c r="M30" i="1"/>
  <c r="L30" i="1"/>
  <c r="K30" i="1"/>
  <c r="J30" i="1"/>
  <c r="I30" i="1"/>
  <c r="H30" i="1"/>
  <c r="G30" i="1"/>
  <c r="F30" i="1"/>
  <c r="AD14" i="1"/>
  <c r="AC14" i="1"/>
  <c r="AB14" i="1"/>
  <c r="AA14" i="1"/>
  <c r="Z14" i="1"/>
  <c r="Y14" i="1"/>
  <c r="X14" i="1"/>
  <c r="W14" i="1"/>
  <c r="V14" i="1"/>
  <c r="U14" i="1"/>
  <c r="T14" i="1"/>
  <c r="S14" i="1"/>
  <c r="N26" i="1"/>
  <c r="M26" i="1"/>
  <c r="L26" i="1"/>
  <c r="K26" i="1"/>
  <c r="J26" i="1"/>
  <c r="I26" i="1"/>
  <c r="H26" i="1"/>
  <c r="G26" i="1"/>
  <c r="F26" i="1"/>
  <c r="AD10" i="1"/>
  <c r="AC10" i="1"/>
  <c r="AB10" i="1"/>
  <c r="AA10" i="1"/>
  <c r="Z10" i="1"/>
  <c r="Y10" i="1"/>
  <c r="X10" i="1"/>
  <c r="W10" i="1"/>
  <c r="V10" i="1"/>
  <c r="U10" i="1"/>
  <c r="T10" i="1"/>
  <c r="S10" i="1"/>
  <c r="N22" i="1"/>
  <c r="M22" i="1"/>
  <c r="L22" i="1"/>
  <c r="K22" i="1"/>
  <c r="J22" i="1"/>
  <c r="I22" i="1"/>
  <c r="H22" i="1"/>
  <c r="G22" i="1"/>
  <c r="F22" i="1"/>
  <c r="AD6" i="1"/>
  <c r="AC6" i="1"/>
  <c r="AB6" i="1"/>
  <c r="AA6" i="1"/>
  <c r="Z6" i="1"/>
  <c r="Y6" i="1"/>
  <c r="X6" i="1"/>
  <c r="W6" i="1"/>
  <c r="V6" i="1"/>
  <c r="U6" i="1"/>
  <c r="T6" i="1"/>
  <c r="S6" i="1" l="1"/>
  <c r="V16" i="1"/>
  <c r="W16" i="1" s="1"/>
  <c r="X16" i="1" s="1"/>
  <c r="Y16" i="1" s="1"/>
  <c r="Z16" i="1" s="1"/>
  <c r="AA16" i="1" s="1"/>
  <c r="AB16" i="1" s="1"/>
  <c r="AC16" i="1" s="1"/>
  <c r="AD16" i="1" s="1"/>
  <c r="M13" i="1"/>
  <c r="N13" i="1" s="1"/>
  <c r="O13" i="1" s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AB13" i="1" s="1"/>
  <c r="AC13" i="1" s="1"/>
  <c r="AD13" i="1" s="1"/>
  <c r="G9" i="1"/>
  <c r="H9" i="1" s="1"/>
  <c r="I9" i="1" s="1"/>
  <c r="J9" i="1" s="1"/>
  <c r="K9" i="1" s="1"/>
  <c r="L9" i="1" s="1"/>
  <c r="M9" i="1" s="1"/>
  <c r="N9" i="1" s="1"/>
  <c r="O9" i="1" s="1"/>
  <c r="P9" i="1" s="1"/>
  <c r="Q9" i="1" s="1"/>
  <c r="R9" i="1" s="1"/>
  <c r="S9" i="1" s="1"/>
  <c r="T9" i="1" s="1"/>
  <c r="U9" i="1" s="1"/>
  <c r="V9" i="1" s="1"/>
  <c r="W9" i="1" s="1"/>
  <c r="X9" i="1" s="1"/>
  <c r="Z9" i="1" s="1"/>
  <c r="AA9" i="1" s="1"/>
  <c r="AB9" i="1" s="1"/>
  <c r="AC9" i="1" s="1"/>
  <c r="AD9" i="1" s="1"/>
  <c r="E5" i="1"/>
  <c r="F5" i="1" s="1"/>
  <c r="G5" i="1" s="1"/>
  <c r="H5" i="1" s="1"/>
  <c r="I5" i="1" s="1"/>
  <c r="J5" i="1" s="1"/>
  <c r="K5" i="1" s="1"/>
  <c r="L5" i="1" s="1"/>
  <c r="M5" i="1" s="1"/>
  <c r="N5" i="1" s="1"/>
  <c r="O5" i="1" s="1"/>
  <c r="P5" i="1" s="1"/>
  <c r="Q5" i="1" s="1"/>
  <c r="R5" i="1" s="1"/>
  <c r="S5" i="1" s="1"/>
  <c r="AE13" i="1" l="1"/>
  <c r="E29" i="1" s="1"/>
  <c r="F29" i="1"/>
  <c r="AE9" i="1"/>
  <c r="E25" i="1" s="1"/>
  <c r="F25" i="1"/>
  <c r="AE16" i="1"/>
  <c r="E32" i="1" s="1"/>
  <c r="F32" i="1"/>
  <c r="G25" i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G29" i="1"/>
  <c r="H29" i="1" s="1"/>
  <c r="I29" i="1" s="1"/>
  <c r="J29" i="1" s="1"/>
  <c r="K29" i="1" s="1"/>
  <c r="L29" i="1" s="1"/>
  <c r="M29" i="1" s="1"/>
  <c r="N29" i="1" s="1"/>
  <c r="O29" i="1" s="1"/>
  <c r="P29" i="1" s="1"/>
  <c r="G32" i="1"/>
  <c r="H32" i="1" s="1"/>
  <c r="I32" i="1" s="1"/>
  <c r="J32" i="1" s="1"/>
  <c r="K32" i="1" s="1"/>
  <c r="L32" i="1" s="1"/>
  <c r="M32" i="1" s="1"/>
  <c r="N32" i="1" s="1"/>
  <c r="O32" i="1" s="1"/>
  <c r="P32" i="1" s="1"/>
  <c r="Q32" i="1" s="1"/>
  <c r="S32" i="1" l="1"/>
  <c r="T32" i="1" s="1"/>
  <c r="U32" i="1" s="1"/>
  <c r="V32" i="1" s="1"/>
  <c r="W32" i="1" s="1"/>
  <c r="X32" i="1" s="1"/>
  <c r="Y32" i="1" s="1"/>
  <c r="Z32" i="1" s="1"/>
  <c r="AA32" i="1" s="1"/>
  <c r="AB32" i="1" s="1"/>
  <c r="AC32" i="1" s="1"/>
  <c r="AD32" i="1" s="1"/>
  <c r="AE32" i="1" s="1"/>
  <c r="R32" i="1"/>
  <c r="S25" i="1"/>
  <c r="T25" i="1" s="1"/>
  <c r="U25" i="1" s="1"/>
  <c r="V25" i="1" s="1"/>
  <c r="W25" i="1" s="1"/>
  <c r="X25" i="1" s="1"/>
  <c r="Y25" i="1" s="1"/>
  <c r="Z25" i="1" s="1"/>
  <c r="AA25" i="1" s="1"/>
  <c r="AB25" i="1" s="1"/>
  <c r="AC25" i="1" s="1"/>
  <c r="AD25" i="1" s="1"/>
  <c r="AE25" i="1" s="1"/>
  <c r="R25" i="1"/>
  <c r="Q30" i="1"/>
  <c r="Q29" i="1" l="1"/>
  <c r="S29" i="1" l="1"/>
  <c r="T29" i="1" s="1"/>
  <c r="U29" i="1" s="1"/>
  <c r="V29" i="1" s="1"/>
  <c r="W29" i="1" s="1"/>
  <c r="X29" i="1" s="1"/>
  <c r="Y29" i="1" s="1"/>
  <c r="Z29" i="1" s="1"/>
  <c r="AA29" i="1" s="1"/>
  <c r="AB29" i="1" s="1"/>
  <c r="AC29" i="1" s="1"/>
  <c r="AD29" i="1" s="1"/>
  <c r="AE29" i="1" s="1"/>
  <c r="R29" i="1"/>
  <c r="T5" i="1"/>
  <c r="U5" i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E21" i="1" s="1"/>
  <c r="F21" i="1" l="1"/>
  <c r="G21" i="1" s="1"/>
  <c r="H21" i="1" s="1"/>
  <c r="I21" i="1" s="1"/>
  <c r="J21" i="1" s="1"/>
  <c r="K21" i="1" s="1"/>
  <c r="L21" i="1" s="1"/>
  <c r="M21" i="1" s="1"/>
  <c r="N21" i="1" s="1"/>
  <c r="O21" i="1" s="1"/>
  <c r="P21" i="1" s="1"/>
  <c r="Q21" i="1" s="1"/>
  <c r="S21" i="1" l="1"/>
  <c r="T21" i="1" s="1"/>
  <c r="U21" i="1" s="1"/>
  <c r="V21" i="1" s="1"/>
  <c r="W21" i="1" s="1"/>
  <c r="X21" i="1" s="1"/>
  <c r="Y21" i="1" s="1"/>
  <c r="Z21" i="1" s="1"/>
  <c r="AA21" i="1" s="1"/>
  <c r="AB21" i="1" s="1"/>
  <c r="AC21" i="1" s="1"/>
  <c r="AD21" i="1" s="1"/>
  <c r="AE21" i="1" s="1"/>
  <c r="R21" i="1"/>
</calcChain>
</file>

<file path=xl/sharedStrings.xml><?xml version="1.0" encoding="utf-8"?>
<sst xmlns="http://schemas.openxmlformats.org/spreadsheetml/2006/main" count="48" uniqueCount="25">
  <si>
    <t>KHAVDA PHASE I,II &amp; III MONTHLY PERFORMANCE STATUS</t>
  </si>
  <si>
    <t>Sr No</t>
  </si>
  <si>
    <t>Activity</t>
  </si>
  <si>
    <t>Resources &amp; Work Done</t>
  </si>
  <si>
    <t>FY 23-24</t>
  </si>
  <si>
    <t>Stone Column</t>
  </si>
  <si>
    <t>Rigs</t>
  </si>
  <si>
    <t>No of Columns</t>
  </si>
  <si>
    <t>Cumm SC</t>
  </si>
  <si>
    <t>Productivity</t>
  </si>
  <si>
    <t>WTG Foundation</t>
  </si>
  <si>
    <t>Gangs</t>
  </si>
  <si>
    <t>No of Foundations</t>
  </si>
  <si>
    <t>Cumm Foundations</t>
  </si>
  <si>
    <t>WTG Erection</t>
  </si>
  <si>
    <t>Cranes Packages</t>
  </si>
  <si>
    <t>No of Erections</t>
  </si>
  <si>
    <t>Cumm Erection</t>
  </si>
  <si>
    <t>WTG Commissioning</t>
  </si>
  <si>
    <t>Commissioning</t>
  </si>
  <si>
    <t>Cumm Commissioning</t>
  </si>
  <si>
    <t>FY 24-25</t>
  </si>
  <si>
    <t>FY 25-26</t>
  </si>
  <si>
    <t>FY 26-27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</si>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</sst>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;@"/>
    <numFmt numFmtId="165" formatCode="0.0"/>
  </numFmts>
  <fonts count="8">
    <font>
      <sz val="10"/>
      <color theme="1"/>
      <name val="Adani Regular"/>
      <family val="2"/>
    </font>
    <font>
      <b/>
      <sz val="18"/>
      <color theme="1"/>
      <name val="Adani Regular"/>
    </font>
    <font>
      <b/>
      <sz val="12"/>
      <color theme="1"/>
      <name val="Adani Regular"/>
    </font>
    <font>
      <b/>
      <sz val="12"/>
      <color theme="1"/>
      <name val="Adani Regular"/>
      <family val="2"/>
    </font>
    <font>
      <sz val="11"/>
      <color theme="1"/>
      <name val="Adani Regular"/>
      <family val="2"/>
    </font>
    <font>
      <sz val="12"/>
      <color theme="1"/>
      <name val="Adani Regular"/>
      <family val="2"/>
    </font>
    <font>
      <i/>
      <sz val="12"/>
      <color theme="1"/>
      <name val="Adani Regular"/>
    </font>
    <font>
      <b/>
      <sz val="14"/>
      <color theme="1"/>
      <name val="Adani Regula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 style="medium">
        <color theme="1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1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theme="1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medium">
        <color theme="1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164" fontId="2" fillId="2" borderId="5" xfId="0" applyNumberFormat="1" applyFont="1" applyFill="1" applyBorder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 vertical="center"/>
    </xf>
    <xf numFmtId="164" fontId="2" fillId="2" borderId="7" xfId="0" applyNumberFormat="1" applyFont="1" applyFill="1" applyBorder="1" applyAlignment="1">
      <alignment horizontal="center" vertical="center"/>
    </xf>
    <xf numFmtId="164" fontId="3" fillId="2" borderId="7" xfId="0" applyNumberFormat="1" applyFont="1" applyFill="1" applyBorder="1" applyAlignment="1">
      <alignment horizontal="center" vertical="center"/>
    </xf>
    <xf numFmtId="164" fontId="2" fillId="3" borderId="5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0" fillId="0" borderId="4" xfId="0" applyBorder="1"/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64" fontId="2" fillId="2" borderId="19" xfId="0" applyNumberFormat="1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6" fillId="0" borderId="29" xfId="0" applyFont="1" applyBorder="1" applyAlignment="1">
      <alignment vertical="center"/>
    </xf>
    <xf numFmtId="0" fontId="2" fillId="3" borderId="28" xfId="0" applyFont="1" applyFill="1" applyBorder="1" applyAlignment="1">
      <alignment horizontal="center" vertical="center"/>
    </xf>
    <xf numFmtId="165" fontId="6" fillId="0" borderId="30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vertical="center"/>
    </xf>
    <xf numFmtId="0" fontId="5" fillId="3" borderId="32" xfId="0" applyFont="1" applyFill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vertical="center"/>
    </xf>
    <xf numFmtId="0" fontId="5" fillId="3" borderId="37" xfId="0" applyFont="1" applyFill="1" applyBorder="1" applyAlignment="1">
      <alignment horizontal="center" vertical="center"/>
    </xf>
    <xf numFmtId="0" fontId="6" fillId="0" borderId="16" xfId="0" applyFont="1" applyBorder="1" applyAlignment="1">
      <alignment vertical="center"/>
    </xf>
    <xf numFmtId="165" fontId="6" fillId="0" borderId="17" xfId="0" applyNumberFormat="1" applyFont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165" fontId="6" fillId="0" borderId="39" xfId="0" applyNumberFormat="1" applyFont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15" fontId="7" fillId="0" borderId="40" xfId="0" applyNumberFormat="1" applyFont="1" applyBorder="1" applyAlignment="1">
      <alignment horizontal="center" vertical="center"/>
    </xf>
    <xf numFmtId="15" fontId="7" fillId="0" borderId="3" xfId="0" applyNumberFormat="1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31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4AA44-A098-48E6-A1C0-477183B33B87}">
  <sheetPr>
    <pageSetUpPr fitToPage="1"/>
  </sheetPr>
  <dimension ref="B1:AE32"/>
  <sheetViews>
    <sheetView tabSelected="1" zoomScale="86" zoomScaleNormal="86" zoomScaleSheetLayoutView="55" workbookViewId="0">
      <pane xSplit="4" ySplit="2" topLeftCell="I3" activePane="bottomRight" state="frozen"/>
      <selection pane="topRight" activeCell="E1" sqref="E1"/>
      <selection pane="bottomLeft" activeCell="A3" sqref="A3"/>
      <selection pane="bottomRight" activeCell="N8" sqref="N8"/>
    </sheetView>
  </sheetViews>
  <sheetFormatPr defaultRowHeight="13.2"/>
  <cols>
    <col min="1" max="1" width="1.77734375" customWidth="1"/>
    <col min="2" max="2" width="6" customWidth="1"/>
    <col min="3" max="3" width="19.5546875" bestFit="1" customWidth="1"/>
    <col min="4" max="4" width="21.5546875" customWidth="1"/>
    <col min="5" max="11" width="8.6640625" style="27" customWidth="1"/>
    <col min="12" max="29" width="8.6640625" customWidth="1"/>
    <col min="30" max="30" width="8" customWidth="1"/>
    <col min="31" max="31" width="9.21875" customWidth="1"/>
  </cols>
  <sheetData>
    <row r="1" spans="2:31" ht="33" customHeight="1" thickBot="1">
      <c r="B1" s="59" t="s">
        <v>0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54">
        <v>46142</v>
      </c>
      <c r="AE1" s="55"/>
    </row>
    <row r="2" spans="2:31" s="6" customFormat="1" ht="31.5" customHeight="1" thickBot="1">
      <c r="B2" s="1" t="s">
        <v>1</v>
      </c>
      <c r="C2" s="1" t="s">
        <v>2</v>
      </c>
      <c r="D2" s="1" t="s">
        <v>3</v>
      </c>
      <c r="E2" s="3">
        <v>45008</v>
      </c>
      <c r="F2" s="3">
        <v>45039</v>
      </c>
      <c r="G2" s="3">
        <v>45069</v>
      </c>
      <c r="H2" s="3">
        <v>45100</v>
      </c>
      <c r="I2" s="3">
        <v>45130</v>
      </c>
      <c r="J2" s="3">
        <v>45161</v>
      </c>
      <c r="K2" s="3">
        <v>45192</v>
      </c>
      <c r="L2" s="3">
        <v>45222</v>
      </c>
      <c r="M2" s="3">
        <v>45253</v>
      </c>
      <c r="N2" s="3">
        <v>45283</v>
      </c>
      <c r="O2" s="3">
        <v>45314</v>
      </c>
      <c r="P2" s="3">
        <v>45345</v>
      </c>
      <c r="Q2" s="4">
        <v>45374</v>
      </c>
      <c r="R2" s="5" t="s">
        <v>4</v>
      </c>
      <c r="S2" s="2">
        <v>45383</v>
      </c>
      <c r="T2" s="3">
        <v>45413</v>
      </c>
      <c r="U2" s="2">
        <v>45444</v>
      </c>
      <c r="V2" s="3">
        <v>45474</v>
      </c>
      <c r="W2" s="2">
        <v>45505</v>
      </c>
      <c r="X2" s="3">
        <v>45536</v>
      </c>
      <c r="Y2" s="2">
        <v>45566</v>
      </c>
      <c r="Z2" s="3">
        <v>45597</v>
      </c>
      <c r="AA2" s="2">
        <v>45627</v>
      </c>
      <c r="AB2" s="3">
        <v>45658</v>
      </c>
      <c r="AC2" s="2">
        <v>45689</v>
      </c>
      <c r="AD2" s="3">
        <v>45717</v>
      </c>
      <c r="AE2" s="5" t="s">
        <v>21</v>
      </c>
    </row>
    <row r="3" spans="2:31" s="6" customFormat="1" ht="24" customHeight="1">
      <c r="B3" s="56">
        <v>1</v>
      </c>
      <c r="C3" s="56" t="s">
        <v>5</v>
      </c>
      <c r="D3" s="47" t="s">
        <v>6</v>
      </c>
      <c r="E3" s="31">
        <v>2</v>
      </c>
      <c r="F3" s="31">
        <v>4</v>
      </c>
      <c r="G3" s="31">
        <v>6</v>
      </c>
      <c r="H3" s="31">
        <v>7</v>
      </c>
      <c r="I3" s="31">
        <v>6</v>
      </c>
      <c r="J3" s="31">
        <v>4</v>
      </c>
      <c r="K3" s="31">
        <v>4</v>
      </c>
      <c r="L3" s="31">
        <v>6</v>
      </c>
      <c r="M3" s="31">
        <v>6</v>
      </c>
      <c r="N3" s="31">
        <v>5</v>
      </c>
      <c r="O3" s="31">
        <v>5</v>
      </c>
      <c r="P3" s="31">
        <v>6</v>
      </c>
      <c r="Q3" s="31">
        <v>6</v>
      </c>
      <c r="R3" s="48"/>
      <c r="S3" s="8">
        <v>8</v>
      </c>
      <c r="T3" s="9">
        <v>9</v>
      </c>
      <c r="U3" s="9">
        <v>8</v>
      </c>
      <c r="V3" s="9">
        <v>3</v>
      </c>
      <c r="W3" s="9">
        <v>2</v>
      </c>
      <c r="X3" s="9">
        <v>2</v>
      </c>
      <c r="Y3" s="9">
        <v>4</v>
      </c>
      <c r="Z3" s="9">
        <v>9</v>
      </c>
      <c r="AA3" s="9">
        <v>15</v>
      </c>
      <c r="AB3" s="9">
        <v>17</v>
      </c>
      <c r="AC3" s="9">
        <v>13</v>
      </c>
      <c r="AD3" s="29">
        <v>15</v>
      </c>
      <c r="AE3" s="10"/>
    </row>
    <row r="4" spans="2:31" s="6" customFormat="1" ht="24" customHeight="1" thickBot="1">
      <c r="B4" s="57"/>
      <c r="C4" s="57"/>
      <c r="D4" s="12" t="s">
        <v>7</v>
      </c>
      <c r="E4" s="14">
        <v>3</v>
      </c>
      <c r="F4" s="14">
        <v>5</v>
      </c>
      <c r="G4" s="14">
        <v>12</v>
      </c>
      <c r="H4" s="14">
        <v>7</v>
      </c>
      <c r="I4" s="14">
        <v>7</v>
      </c>
      <c r="J4" s="14">
        <v>5</v>
      </c>
      <c r="K4" s="14">
        <v>5</v>
      </c>
      <c r="L4" s="14">
        <v>8</v>
      </c>
      <c r="M4" s="14">
        <v>9</v>
      </c>
      <c r="N4" s="14">
        <v>6</v>
      </c>
      <c r="O4" s="14">
        <v>5</v>
      </c>
      <c r="P4" s="14">
        <v>12</v>
      </c>
      <c r="Q4" s="14">
        <v>13</v>
      </c>
      <c r="R4" s="15"/>
      <c r="S4" s="13">
        <v>13</v>
      </c>
      <c r="T4" s="14">
        <v>14</v>
      </c>
      <c r="U4" s="14">
        <v>11</v>
      </c>
      <c r="V4" s="14">
        <v>4</v>
      </c>
      <c r="W4" s="14">
        <v>3</v>
      </c>
      <c r="X4" s="14">
        <v>2</v>
      </c>
      <c r="Y4" s="14">
        <v>7</v>
      </c>
      <c r="Z4" s="14">
        <v>17</v>
      </c>
      <c r="AA4" s="32">
        <v>39</v>
      </c>
      <c r="AB4" s="14">
        <v>30</v>
      </c>
      <c r="AC4" s="14">
        <v>26</v>
      </c>
      <c r="AD4" s="33">
        <v>27</v>
      </c>
      <c r="AE4" s="15"/>
    </row>
    <row r="5" spans="2:31" s="6" customFormat="1" ht="24" customHeight="1" thickBot="1">
      <c r="B5" s="57"/>
      <c r="C5" s="57"/>
      <c r="D5" s="11" t="s">
        <v>8</v>
      </c>
      <c r="E5" s="17">
        <f>E4</f>
        <v>3</v>
      </c>
      <c r="F5" s="17">
        <f>E5+F4</f>
        <v>8</v>
      </c>
      <c r="G5" s="17">
        <f t="shared" ref="G5:Q5" si="0">F5+G4</f>
        <v>20</v>
      </c>
      <c r="H5" s="17">
        <f t="shared" si="0"/>
        <v>27</v>
      </c>
      <c r="I5" s="17">
        <f t="shared" si="0"/>
        <v>34</v>
      </c>
      <c r="J5" s="17">
        <f t="shared" si="0"/>
        <v>39</v>
      </c>
      <c r="K5" s="17">
        <f t="shared" si="0"/>
        <v>44</v>
      </c>
      <c r="L5" s="17">
        <f t="shared" si="0"/>
        <v>52</v>
      </c>
      <c r="M5" s="17">
        <f t="shared" si="0"/>
        <v>61</v>
      </c>
      <c r="N5" s="17">
        <f t="shared" si="0"/>
        <v>67</v>
      </c>
      <c r="O5" s="17">
        <f t="shared" si="0"/>
        <v>72</v>
      </c>
      <c r="P5" s="17">
        <f t="shared" si="0"/>
        <v>84</v>
      </c>
      <c r="Q5" s="18">
        <f t="shared" si="0"/>
        <v>97</v>
      </c>
      <c r="R5" s="19">
        <f>Q5</f>
        <v>97</v>
      </c>
      <c r="S5" s="16">
        <f>+R5+S4</f>
        <v>110</v>
      </c>
      <c r="T5" s="16">
        <f t="shared" ref="T5:AD5" si="1">S5+T4</f>
        <v>124</v>
      </c>
      <c r="U5" s="16">
        <f t="shared" si="1"/>
        <v>135</v>
      </c>
      <c r="V5" s="16">
        <f t="shared" si="1"/>
        <v>139</v>
      </c>
      <c r="W5" s="16">
        <f t="shared" si="1"/>
        <v>142</v>
      </c>
      <c r="X5" s="16">
        <f t="shared" si="1"/>
        <v>144</v>
      </c>
      <c r="Y5" s="16">
        <f t="shared" si="1"/>
        <v>151</v>
      </c>
      <c r="Z5" s="16">
        <f t="shared" si="1"/>
        <v>168</v>
      </c>
      <c r="AA5" s="16">
        <f t="shared" si="1"/>
        <v>207</v>
      </c>
      <c r="AB5" s="16">
        <f t="shared" si="1"/>
        <v>237</v>
      </c>
      <c r="AC5" s="16">
        <f t="shared" si="1"/>
        <v>263</v>
      </c>
      <c r="AD5" s="16">
        <f t="shared" si="1"/>
        <v>290</v>
      </c>
      <c r="AE5" s="19">
        <f>+AD5-Q5</f>
        <v>193</v>
      </c>
    </row>
    <row r="6" spans="2:31" s="6" customFormat="1" ht="24" customHeight="1" thickBot="1">
      <c r="B6" s="58"/>
      <c r="C6" s="58"/>
      <c r="D6" s="49" t="s">
        <v>9</v>
      </c>
      <c r="E6" s="50">
        <f t="shared" ref="E6:Q6" si="2">+E4/E3</f>
        <v>1.5</v>
      </c>
      <c r="F6" s="50">
        <f t="shared" si="2"/>
        <v>1.25</v>
      </c>
      <c r="G6" s="50">
        <f t="shared" si="2"/>
        <v>2</v>
      </c>
      <c r="H6" s="50">
        <f t="shared" si="2"/>
        <v>1</v>
      </c>
      <c r="I6" s="50">
        <f t="shared" si="2"/>
        <v>1.1666666666666667</v>
      </c>
      <c r="J6" s="50">
        <f t="shared" si="2"/>
        <v>1.25</v>
      </c>
      <c r="K6" s="50">
        <f t="shared" si="2"/>
        <v>1.25</v>
      </c>
      <c r="L6" s="50">
        <f t="shared" si="2"/>
        <v>1.3333333333333333</v>
      </c>
      <c r="M6" s="50">
        <f t="shared" si="2"/>
        <v>1.5</v>
      </c>
      <c r="N6" s="50">
        <f t="shared" si="2"/>
        <v>1.2</v>
      </c>
      <c r="O6" s="50">
        <f t="shared" si="2"/>
        <v>1</v>
      </c>
      <c r="P6" s="50">
        <f t="shared" si="2"/>
        <v>2</v>
      </c>
      <c r="Q6" s="50">
        <f t="shared" si="2"/>
        <v>2.1666666666666665</v>
      </c>
      <c r="R6" s="51"/>
      <c r="S6" s="40">
        <f t="shared" ref="S6:AD6" si="3">+S4/S3</f>
        <v>1.625</v>
      </c>
      <c r="T6" s="40">
        <f t="shared" si="3"/>
        <v>1.5555555555555556</v>
      </c>
      <c r="U6" s="40">
        <f t="shared" si="3"/>
        <v>1.375</v>
      </c>
      <c r="V6" s="40">
        <f t="shared" si="3"/>
        <v>1.3333333333333333</v>
      </c>
      <c r="W6" s="40">
        <f t="shared" si="3"/>
        <v>1.5</v>
      </c>
      <c r="X6" s="40">
        <f t="shared" si="3"/>
        <v>1</v>
      </c>
      <c r="Y6" s="40">
        <f t="shared" si="3"/>
        <v>1.75</v>
      </c>
      <c r="Z6" s="40">
        <f t="shared" si="3"/>
        <v>1.8888888888888888</v>
      </c>
      <c r="AA6" s="40">
        <f t="shared" si="3"/>
        <v>2.6</v>
      </c>
      <c r="AB6" s="40">
        <f t="shared" si="3"/>
        <v>1.7647058823529411</v>
      </c>
      <c r="AC6" s="40">
        <f t="shared" si="3"/>
        <v>2</v>
      </c>
      <c r="AD6" s="40">
        <f t="shared" si="3"/>
        <v>1.8</v>
      </c>
      <c r="AE6" s="39"/>
    </row>
    <row r="7" spans="2:31" s="6" customFormat="1" ht="24" customHeight="1">
      <c r="B7" s="56">
        <v>2</v>
      </c>
      <c r="C7" s="56" t="s">
        <v>10</v>
      </c>
      <c r="D7" s="47" t="s">
        <v>11</v>
      </c>
      <c r="E7" s="31"/>
      <c r="F7" s="31"/>
      <c r="G7" s="31">
        <v>3</v>
      </c>
      <c r="H7" s="31">
        <v>3</v>
      </c>
      <c r="I7" s="31">
        <v>3</v>
      </c>
      <c r="J7" s="31">
        <v>0</v>
      </c>
      <c r="K7" s="31">
        <v>0</v>
      </c>
      <c r="L7" s="31">
        <v>3</v>
      </c>
      <c r="M7" s="31">
        <v>3</v>
      </c>
      <c r="N7" s="31">
        <v>3</v>
      </c>
      <c r="O7" s="31">
        <v>3</v>
      </c>
      <c r="P7" s="31">
        <v>3</v>
      </c>
      <c r="Q7" s="31">
        <v>3</v>
      </c>
      <c r="R7" s="48"/>
      <c r="S7" s="43">
        <v>4</v>
      </c>
      <c r="T7" s="44">
        <v>4</v>
      </c>
      <c r="U7" s="44">
        <v>4</v>
      </c>
      <c r="V7" s="44">
        <v>4</v>
      </c>
      <c r="W7" s="44">
        <v>4</v>
      </c>
      <c r="X7" s="44">
        <v>7</v>
      </c>
      <c r="Y7" s="44">
        <v>14</v>
      </c>
      <c r="Z7" s="44">
        <v>20</v>
      </c>
      <c r="AA7" s="44">
        <v>24</v>
      </c>
      <c r="AB7" s="44">
        <v>24</v>
      </c>
      <c r="AC7" s="44">
        <v>24</v>
      </c>
      <c r="AD7" s="45">
        <v>19</v>
      </c>
      <c r="AE7" s="42"/>
    </row>
    <row r="8" spans="2:31" s="6" customFormat="1" ht="24" customHeight="1" thickBot="1">
      <c r="B8" s="57"/>
      <c r="C8" s="57"/>
      <c r="D8" s="12" t="s">
        <v>12</v>
      </c>
      <c r="E8" s="14"/>
      <c r="F8" s="14"/>
      <c r="G8" s="14">
        <v>3</v>
      </c>
      <c r="H8" s="14">
        <v>2</v>
      </c>
      <c r="I8" s="14">
        <v>2</v>
      </c>
      <c r="J8" s="14">
        <v>0</v>
      </c>
      <c r="K8" s="14">
        <v>0</v>
      </c>
      <c r="L8" s="14">
        <v>5</v>
      </c>
      <c r="M8" s="14">
        <v>5</v>
      </c>
      <c r="N8" s="14">
        <v>9</v>
      </c>
      <c r="O8" s="14">
        <v>8</v>
      </c>
      <c r="P8" s="14">
        <v>11</v>
      </c>
      <c r="Q8" s="14">
        <v>5</v>
      </c>
      <c r="R8" s="15"/>
      <c r="S8" s="13">
        <v>6</v>
      </c>
      <c r="T8" s="14">
        <v>6</v>
      </c>
      <c r="U8" s="14">
        <v>10</v>
      </c>
      <c r="V8" s="14">
        <v>3</v>
      </c>
      <c r="W8" s="14">
        <v>5</v>
      </c>
      <c r="X8" s="14">
        <v>3</v>
      </c>
      <c r="Y8" s="14">
        <v>6</v>
      </c>
      <c r="Z8" s="14">
        <v>21</v>
      </c>
      <c r="AA8" s="14">
        <v>27</v>
      </c>
      <c r="AB8" s="32">
        <v>41</v>
      </c>
      <c r="AC8" s="14">
        <v>36</v>
      </c>
      <c r="AD8" s="33">
        <v>32</v>
      </c>
      <c r="AE8" s="15"/>
    </row>
    <row r="9" spans="2:31" s="6" customFormat="1" ht="24" customHeight="1" thickBot="1">
      <c r="B9" s="57"/>
      <c r="C9" s="57"/>
      <c r="D9" s="11" t="s">
        <v>13</v>
      </c>
      <c r="E9" s="17"/>
      <c r="F9" s="17"/>
      <c r="G9" s="17">
        <f t="shared" ref="G9:Q9" si="4">F9+G8</f>
        <v>3</v>
      </c>
      <c r="H9" s="17">
        <f t="shared" si="4"/>
        <v>5</v>
      </c>
      <c r="I9" s="17">
        <f t="shared" si="4"/>
        <v>7</v>
      </c>
      <c r="J9" s="17">
        <f t="shared" si="4"/>
        <v>7</v>
      </c>
      <c r="K9" s="17">
        <f t="shared" si="4"/>
        <v>7</v>
      </c>
      <c r="L9" s="17">
        <f t="shared" si="4"/>
        <v>12</v>
      </c>
      <c r="M9" s="17">
        <f t="shared" si="4"/>
        <v>17</v>
      </c>
      <c r="N9" s="17">
        <f t="shared" si="4"/>
        <v>26</v>
      </c>
      <c r="O9" s="17">
        <f t="shared" si="4"/>
        <v>34</v>
      </c>
      <c r="P9" s="17">
        <f t="shared" si="4"/>
        <v>45</v>
      </c>
      <c r="Q9" s="18">
        <f t="shared" si="4"/>
        <v>50</v>
      </c>
      <c r="R9" s="19">
        <f>Q9</f>
        <v>50</v>
      </c>
      <c r="S9" s="16">
        <f>+R9+S8</f>
        <v>56</v>
      </c>
      <c r="T9" s="16">
        <f t="shared" ref="T9:AD9" si="5">S9+T8</f>
        <v>62</v>
      </c>
      <c r="U9" s="16">
        <f t="shared" si="5"/>
        <v>72</v>
      </c>
      <c r="V9" s="16">
        <f t="shared" si="5"/>
        <v>75</v>
      </c>
      <c r="W9" s="16">
        <f t="shared" si="5"/>
        <v>80</v>
      </c>
      <c r="X9" s="16">
        <f t="shared" si="5"/>
        <v>83</v>
      </c>
      <c r="Y9" s="16" t="s">
        <v>24</v>
      </c>
      <c r="Z9" s="16" t="e">
        <f t="shared" si="5"/>
        <v>#VALUE!</v>
      </c>
      <c r="AA9" s="16" t="e">
        <f t="shared" si="5"/>
        <v>#VALUE!</v>
      </c>
      <c r="AB9" s="16" t="e">
        <f t="shared" si="5"/>
        <v>#VALUE!</v>
      </c>
      <c r="AC9" s="16" t="e">
        <f t="shared" si="5"/>
        <v>#VALUE!</v>
      </c>
      <c r="AD9" s="16" t="e">
        <f>AC9+AD8</f>
        <v>#VALUE!</v>
      </c>
      <c r="AE9" s="19" t="e">
        <f>+AD9-Q9</f>
        <v>#VALUE!</v>
      </c>
    </row>
    <row r="10" spans="2:31" s="6" customFormat="1" ht="24" customHeight="1" thickBot="1">
      <c r="B10" s="58"/>
      <c r="C10" s="58"/>
      <c r="D10" s="49" t="s">
        <v>9</v>
      </c>
      <c r="E10" s="50"/>
      <c r="F10" s="50"/>
      <c r="G10" s="50">
        <f t="shared" ref="G10:Q10" si="6">+G8/G7</f>
        <v>1</v>
      </c>
      <c r="H10" s="50">
        <f t="shared" si="6"/>
        <v>0.66666666666666663</v>
      </c>
      <c r="I10" s="50">
        <f t="shared" si="6"/>
        <v>0.66666666666666663</v>
      </c>
      <c r="J10" s="50"/>
      <c r="K10" s="50"/>
      <c r="L10" s="50">
        <f t="shared" si="6"/>
        <v>1.6666666666666667</v>
      </c>
      <c r="M10" s="50">
        <f t="shared" si="6"/>
        <v>1.6666666666666667</v>
      </c>
      <c r="N10" s="50">
        <f t="shared" si="6"/>
        <v>3</v>
      </c>
      <c r="O10" s="50">
        <f t="shared" si="6"/>
        <v>2.6666666666666665</v>
      </c>
      <c r="P10" s="50">
        <f t="shared" si="6"/>
        <v>3.6666666666666665</v>
      </c>
      <c r="Q10" s="50">
        <f t="shared" si="6"/>
        <v>1.6666666666666667</v>
      </c>
      <c r="R10" s="51"/>
      <c r="S10" s="40">
        <f>+S8/S7</f>
        <v>1.5</v>
      </c>
      <c r="T10" s="40">
        <f t="shared" ref="T10:AD10" si="7">+T8/T7</f>
        <v>1.5</v>
      </c>
      <c r="U10" s="40">
        <f t="shared" si="7"/>
        <v>2.5</v>
      </c>
      <c r="V10" s="40">
        <f t="shared" si="7"/>
        <v>0.75</v>
      </c>
      <c r="W10" s="40">
        <f t="shared" si="7"/>
        <v>1.25</v>
      </c>
      <c r="X10" s="40">
        <f t="shared" si="7"/>
        <v>0.42857142857142855</v>
      </c>
      <c r="Y10" s="40">
        <f t="shared" si="7"/>
        <v>0.42857142857142855</v>
      </c>
      <c r="Z10" s="40">
        <f t="shared" si="7"/>
        <v>1.05</v>
      </c>
      <c r="AA10" s="40">
        <f t="shared" si="7"/>
        <v>1.125</v>
      </c>
      <c r="AB10" s="40">
        <f t="shared" si="7"/>
        <v>1.7083333333333333</v>
      </c>
      <c r="AC10" s="40">
        <f t="shared" si="7"/>
        <v>1.5</v>
      </c>
      <c r="AD10" s="40">
        <f t="shared" si="7"/>
        <v>1.6842105263157894</v>
      </c>
      <c r="AE10" s="39"/>
    </row>
    <row r="11" spans="2:31" s="6" customFormat="1" ht="24" customHeight="1">
      <c r="B11" s="56">
        <v>3</v>
      </c>
      <c r="C11" s="56" t="s">
        <v>14</v>
      </c>
      <c r="D11" s="47" t="s">
        <v>15</v>
      </c>
      <c r="E11" s="31"/>
      <c r="F11" s="31"/>
      <c r="G11" s="31"/>
      <c r="H11" s="31"/>
      <c r="I11" s="31"/>
      <c r="J11" s="31"/>
      <c r="K11" s="31"/>
      <c r="L11" s="31"/>
      <c r="M11" s="31">
        <v>3</v>
      </c>
      <c r="N11" s="31">
        <v>3</v>
      </c>
      <c r="O11" s="31">
        <v>3</v>
      </c>
      <c r="P11" s="31">
        <v>3</v>
      </c>
      <c r="Q11" s="31">
        <v>4</v>
      </c>
      <c r="R11" s="48"/>
      <c r="S11" s="43">
        <v>5</v>
      </c>
      <c r="T11" s="44">
        <v>6</v>
      </c>
      <c r="U11" s="44">
        <v>6</v>
      </c>
      <c r="V11" s="44">
        <v>5</v>
      </c>
      <c r="W11" s="44">
        <v>5</v>
      </c>
      <c r="X11" s="44">
        <v>5</v>
      </c>
      <c r="Y11" s="44">
        <v>5</v>
      </c>
      <c r="Z11" s="44">
        <v>5</v>
      </c>
      <c r="AA11" s="44">
        <v>9</v>
      </c>
      <c r="AB11" s="44">
        <v>12</v>
      </c>
      <c r="AC11" s="44">
        <v>14</v>
      </c>
      <c r="AD11" s="45">
        <v>15</v>
      </c>
      <c r="AE11" s="42"/>
    </row>
    <row r="12" spans="2:31" s="6" customFormat="1" ht="24" customHeight="1" thickBot="1">
      <c r="B12" s="57"/>
      <c r="C12" s="57"/>
      <c r="D12" s="12" t="s">
        <v>16</v>
      </c>
      <c r="E12" s="14"/>
      <c r="F12" s="14"/>
      <c r="G12" s="14"/>
      <c r="H12" s="14"/>
      <c r="I12" s="14"/>
      <c r="J12" s="14"/>
      <c r="K12" s="14"/>
      <c r="L12" s="14"/>
      <c r="M12" s="14">
        <v>1</v>
      </c>
      <c r="N12" s="14">
        <v>4</v>
      </c>
      <c r="O12" s="14">
        <v>6</v>
      </c>
      <c r="P12" s="14">
        <v>7</v>
      </c>
      <c r="Q12" s="14">
        <v>8</v>
      </c>
      <c r="R12" s="15"/>
      <c r="S12" s="13">
        <v>8</v>
      </c>
      <c r="T12" s="14">
        <v>7</v>
      </c>
      <c r="U12" s="14">
        <v>12</v>
      </c>
      <c r="V12" s="14">
        <v>6</v>
      </c>
      <c r="W12" s="14">
        <v>5</v>
      </c>
      <c r="X12" s="14">
        <v>6</v>
      </c>
      <c r="Y12" s="14">
        <v>10</v>
      </c>
      <c r="Z12" s="14">
        <v>8</v>
      </c>
      <c r="AA12" s="14">
        <v>18</v>
      </c>
      <c r="AB12" s="14">
        <v>24</v>
      </c>
      <c r="AC12" s="32">
        <v>31</v>
      </c>
      <c r="AD12" s="33">
        <v>26</v>
      </c>
      <c r="AE12" s="15"/>
    </row>
    <row r="13" spans="2:31" s="6" customFormat="1" ht="24" customHeight="1" thickBot="1">
      <c r="B13" s="57"/>
      <c r="C13" s="57"/>
      <c r="D13" s="11" t="s">
        <v>17</v>
      </c>
      <c r="E13" s="17"/>
      <c r="F13" s="17"/>
      <c r="G13" s="17"/>
      <c r="H13" s="17"/>
      <c r="I13" s="17"/>
      <c r="J13" s="17"/>
      <c r="K13" s="17"/>
      <c r="L13" s="17"/>
      <c r="M13" s="17">
        <f t="shared" ref="M13:Q13" si="8">L13+M12</f>
        <v>1</v>
      </c>
      <c r="N13" s="17">
        <f t="shared" si="8"/>
        <v>5</v>
      </c>
      <c r="O13" s="17">
        <f t="shared" si="8"/>
        <v>11</v>
      </c>
      <c r="P13" s="17">
        <f t="shared" si="8"/>
        <v>18</v>
      </c>
      <c r="Q13" s="18">
        <f t="shared" si="8"/>
        <v>26</v>
      </c>
      <c r="R13" s="19">
        <f>Q13</f>
        <v>26</v>
      </c>
      <c r="S13" s="16">
        <f>+R13+S12</f>
        <v>34</v>
      </c>
      <c r="T13" s="16">
        <f t="shared" ref="T13:AD13" si="9">S13+T12</f>
        <v>41</v>
      </c>
      <c r="U13" s="16">
        <f t="shared" si="9"/>
        <v>53</v>
      </c>
      <c r="V13" s="16">
        <f t="shared" si="9"/>
        <v>59</v>
      </c>
      <c r="W13" s="16">
        <f t="shared" si="9"/>
        <v>64</v>
      </c>
      <c r="X13" s="16">
        <f t="shared" si="9"/>
        <v>70</v>
      </c>
      <c r="Y13" s="16">
        <f t="shared" si="9"/>
        <v>80</v>
      </c>
      <c r="Z13" s="16">
        <f t="shared" si="9"/>
        <v>88</v>
      </c>
      <c r="AA13" s="16">
        <f t="shared" si="9"/>
        <v>106</v>
      </c>
      <c r="AB13" s="16">
        <f t="shared" si="9"/>
        <v>130</v>
      </c>
      <c r="AC13" s="16">
        <f t="shared" si="9"/>
        <v>161</v>
      </c>
      <c r="AD13" s="16">
        <f t="shared" si="9"/>
        <v>187</v>
      </c>
      <c r="AE13" s="19">
        <f>+AD13-Q13</f>
        <v>161</v>
      </c>
    </row>
    <row r="14" spans="2:31" s="6" customFormat="1" ht="24" customHeight="1" thickBot="1">
      <c r="B14" s="58"/>
      <c r="C14" s="58"/>
      <c r="D14" s="49" t="s">
        <v>9</v>
      </c>
      <c r="E14" s="23"/>
      <c r="F14" s="23"/>
      <c r="G14" s="23"/>
      <c r="H14" s="23"/>
      <c r="I14" s="23"/>
      <c r="J14" s="23"/>
      <c r="K14" s="23"/>
      <c r="L14" s="23"/>
      <c r="M14" s="50">
        <f t="shared" ref="M14:Q14" si="10">+M12/M11</f>
        <v>0.33333333333333331</v>
      </c>
      <c r="N14" s="50">
        <f t="shared" si="10"/>
        <v>1.3333333333333333</v>
      </c>
      <c r="O14" s="50">
        <f t="shared" si="10"/>
        <v>2</v>
      </c>
      <c r="P14" s="50">
        <f t="shared" si="10"/>
        <v>2.3333333333333335</v>
      </c>
      <c r="Q14" s="50">
        <f t="shared" si="10"/>
        <v>2</v>
      </c>
      <c r="R14" s="51"/>
      <c r="S14" s="40">
        <f>+S12/S11</f>
        <v>1.6</v>
      </c>
      <c r="T14" s="40">
        <f t="shared" ref="T14:AD14" si="11">+T12/T11</f>
        <v>1.1666666666666667</v>
      </c>
      <c r="U14" s="40">
        <f t="shared" si="11"/>
        <v>2</v>
      </c>
      <c r="V14" s="40">
        <f t="shared" si="11"/>
        <v>1.2</v>
      </c>
      <c r="W14" s="40">
        <f t="shared" si="11"/>
        <v>1</v>
      </c>
      <c r="X14" s="40">
        <f t="shared" si="11"/>
        <v>1.2</v>
      </c>
      <c r="Y14" s="40">
        <f t="shared" si="11"/>
        <v>2</v>
      </c>
      <c r="Z14" s="40">
        <f t="shared" si="11"/>
        <v>1.6</v>
      </c>
      <c r="AA14" s="40">
        <f t="shared" si="11"/>
        <v>2</v>
      </c>
      <c r="AB14" s="40">
        <f t="shared" si="11"/>
        <v>2</v>
      </c>
      <c r="AC14" s="40">
        <f t="shared" si="11"/>
        <v>2.2142857142857144</v>
      </c>
      <c r="AD14" s="40">
        <f t="shared" si="11"/>
        <v>1.7333333333333334</v>
      </c>
      <c r="AE14" s="39"/>
    </row>
    <row r="15" spans="2:31" ht="27" customHeight="1" thickBot="1">
      <c r="B15" s="61">
        <v>4</v>
      </c>
      <c r="C15" s="63" t="s">
        <v>18</v>
      </c>
      <c r="D15" s="7" t="s">
        <v>19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20"/>
      <c r="S15" s="8"/>
      <c r="T15" s="9"/>
      <c r="U15" s="9"/>
      <c r="V15" s="9">
        <v>54</v>
      </c>
      <c r="W15" s="9"/>
      <c r="X15" s="9"/>
      <c r="Y15" s="9"/>
      <c r="Z15" s="9">
        <v>13</v>
      </c>
      <c r="AA15" s="9">
        <v>10</v>
      </c>
      <c r="AB15" s="9">
        <v>10</v>
      </c>
      <c r="AC15" s="9">
        <v>9</v>
      </c>
      <c r="AD15" s="53">
        <v>54</v>
      </c>
      <c r="AE15" s="20"/>
    </row>
    <row r="16" spans="2:31" ht="26.25" customHeight="1" thickBot="1">
      <c r="B16" s="62"/>
      <c r="C16" s="64"/>
      <c r="D16" s="21" t="s">
        <v>20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4"/>
      <c r="R16" s="19"/>
      <c r="S16" s="22"/>
      <c r="T16" s="22"/>
      <c r="U16" s="22"/>
      <c r="V16" s="22">
        <f t="shared" ref="V16:AD16" si="12">U16+V15</f>
        <v>54</v>
      </c>
      <c r="W16" s="22">
        <f t="shared" si="12"/>
        <v>54</v>
      </c>
      <c r="X16" s="22">
        <f t="shared" si="12"/>
        <v>54</v>
      </c>
      <c r="Y16" s="22">
        <f t="shared" si="12"/>
        <v>54</v>
      </c>
      <c r="Z16" s="22">
        <f t="shared" si="12"/>
        <v>67</v>
      </c>
      <c r="AA16" s="22">
        <f t="shared" si="12"/>
        <v>77</v>
      </c>
      <c r="AB16" s="22">
        <f t="shared" si="12"/>
        <v>87</v>
      </c>
      <c r="AC16" s="22">
        <f t="shared" si="12"/>
        <v>96</v>
      </c>
      <c r="AD16" s="22">
        <f t="shared" si="12"/>
        <v>150</v>
      </c>
      <c r="AE16" s="19">
        <f>+AD16-Q16</f>
        <v>150</v>
      </c>
    </row>
    <row r="17" spans="2:31" ht="14.4" thickBot="1">
      <c r="B17" s="25"/>
      <c r="D17" s="26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2:31" ht="30.75" customHeight="1" thickBot="1">
      <c r="B18" s="1" t="s">
        <v>1</v>
      </c>
      <c r="C18" s="1" t="s">
        <v>2</v>
      </c>
      <c r="D18" s="1" t="s">
        <v>3</v>
      </c>
      <c r="E18" s="5" t="str">
        <f>+AE2</f>
        <v>FY 24-25</v>
      </c>
      <c r="F18" s="3">
        <v>45748</v>
      </c>
      <c r="G18" s="28">
        <v>45778</v>
      </c>
      <c r="H18" s="3">
        <v>45809</v>
      </c>
      <c r="I18" s="28">
        <v>45839</v>
      </c>
      <c r="J18" s="3">
        <v>45870</v>
      </c>
      <c r="K18" s="28">
        <v>45901</v>
      </c>
      <c r="L18" s="3">
        <v>45931</v>
      </c>
      <c r="M18" s="3">
        <v>45962</v>
      </c>
      <c r="N18" s="3">
        <v>45992</v>
      </c>
      <c r="O18" s="3">
        <v>46023</v>
      </c>
      <c r="P18" s="2">
        <v>46054</v>
      </c>
      <c r="Q18" s="3">
        <v>46082</v>
      </c>
      <c r="R18" s="5" t="s">
        <v>22</v>
      </c>
      <c r="S18" s="3">
        <v>46113</v>
      </c>
      <c r="T18" s="3">
        <v>46143</v>
      </c>
      <c r="U18" s="3">
        <v>46174</v>
      </c>
      <c r="V18" s="3">
        <v>46204</v>
      </c>
      <c r="W18" s="3">
        <v>46235</v>
      </c>
      <c r="X18" s="3">
        <v>46266</v>
      </c>
      <c r="Y18" s="3">
        <v>46296</v>
      </c>
      <c r="Z18" s="3">
        <v>46327</v>
      </c>
      <c r="AA18" s="3">
        <v>46357</v>
      </c>
      <c r="AB18" s="3">
        <v>46388</v>
      </c>
      <c r="AC18" s="3">
        <v>46419</v>
      </c>
      <c r="AD18" s="3">
        <v>46447</v>
      </c>
      <c r="AE18" s="5" t="s">
        <v>23</v>
      </c>
    </row>
    <row r="19" spans="2:31" ht="24" customHeight="1">
      <c r="B19" s="56">
        <v>1</v>
      </c>
      <c r="C19" s="56" t="s">
        <v>5</v>
      </c>
      <c r="D19" s="7" t="s">
        <v>6</v>
      </c>
      <c r="E19" s="10"/>
      <c r="F19" s="30">
        <v>18</v>
      </c>
      <c r="G19" s="31">
        <v>18</v>
      </c>
      <c r="H19" s="31">
        <v>17</v>
      </c>
      <c r="I19" s="31">
        <v>11</v>
      </c>
      <c r="J19" s="31">
        <v>12</v>
      </c>
      <c r="K19" s="31">
        <v>12</v>
      </c>
      <c r="L19" s="31">
        <v>12</v>
      </c>
      <c r="M19" s="31">
        <v>13</v>
      </c>
      <c r="N19" s="31">
        <v>9</v>
      </c>
      <c r="O19" s="31">
        <v>10</v>
      </c>
      <c r="P19" s="8">
        <v>10</v>
      </c>
      <c r="Q19" s="29">
        <v>11</v>
      </c>
      <c r="R19" s="10"/>
      <c r="S19" s="30">
        <v>8</v>
      </c>
      <c r="T19" s="31"/>
      <c r="U19" s="31"/>
      <c r="V19" s="31"/>
      <c r="W19" s="31"/>
      <c r="X19" s="31"/>
      <c r="Y19" s="31"/>
      <c r="Z19" s="31"/>
      <c r="AA19" s="31"/>
      <c r="AB19" s="31"/>
      <c r="AC19" s="8"/>
      <c r="AD19" s="29"/>
      <c r="AE19" s="10"/>
    </row>
    <row r="20" spans="2:31" ht="24" customHeight="1" thickBot="1">
      <c r="B20" s="57"/>
      <c r="C20" s="57"/>
      <c r="D20" s="12" t="s">
        <v>7</v>
      </c>
      <c r="E20" s="15"/>
      <c r="F20" s="34">
        <v>26</v>
      </c>
      <c r="G20" s="14">
        <v>23</v>
      </c>
      <c r="H20" s="32">
        <v>30</v>
      </c>
      <c r="I20" s="14">
        <v>11</v>
      </c>
      <c r="J20" s="14">
        <v>15</v>
      </c>
      <c r="K20" s="14">
        <v>9</v>
      </c>
      <c r="L20" s="14">
        <v>12</v>
      </c>
      <c r="M20" s="14">
        <v>16</v>
      </c>
      <c r="N20" s="14">
        <v>7</v>
      </c>
      <c r="O20" s="14">
        <v>6</v>
      </c>
      <c r="P20" s="13">
        <v>16</v>
      </c>
      <c r="Q20" s="33">
        <v>9</v>
      </c>
      <c r="R20" s="15"/>
      <c r="S20" s="34">
        <v>13</v>
      </c>
      <c r="T20" s="14"/>
      <c r="U20" s="14"/>
      <c r="V20" s="14"/>
      <c r="W20" s="14"/>
      <c r="X20" s="14"/>
      <c r="Y20" s="14"/>
      <c r="Z20" s="14"/>
      <c r="AA20" s="14"/>
      <c r="AB20" s="14"/>
      <c r="AC20" s="13"/>
      <c r="AD20" s="33"/>
      <c r="AE20" s="15"/>
    </row>
    <row r="21" spans="2:31" ht="24" customHeight="1" thickBot="1">
      <c r="B21" s="57"/>
      <c r="C21" s="57"/>
      <c r="D21" s="11" t="s">
        <v>8</v>
      </c>
      <c r="E21" s="19">
        <f>+AE5</f>
        <v>193</v>
      </c>
      <c r="F21" s="35">
        <f>AD5+F20</f>
        <v>316</v>
      </c>
      <c r="G21" s="17">
        <f t="shared" ref="G21:H21" si="13">F21+G20</f>
        <v>339</v>
      </c>
      <c r="H21" s="17">
        <f t="shared" si="13"/>
        <v>369</v>
      </c>
      <c r="I21" s="17">
        <f>H21+I20</f>
        <v>380</v>
      </c>
      <c r="J21" s="17">
        <f t="shared" ref="J21" si="14">I21+J20</f>
        <v>395</v>
      </c>
      <c r="K21" s="17">
        <f>J21+K20</f>
        <v>404</v>
      </c>
      <c r="L21" s="17">
        <f>K21+L20</f>
        <v>416</v>
      </c>
      <c r="M21" s="17">
        <f>L21+M20</f>
        <v>432</v>
      </c>
      <c r="N21" s="17">
        <f>M21+N20</f>
        <v>439</v>
      </c>
      <c r="O21" s="17">
        <f>N21+O20</f>
        <v>445</v>
      </c>
      <c r="P21" s="16">
        <f t="shared" ref="P21" si="15">O21+P20</f>
        <v>461</v>
      </c>
      <c r="Q21" s="16">
        <f t="shared" ref="Q21" si="16">P21+Q20</f>
        <v>470</v>
      </c>
      <c r="R21" s="19">
        <f>+Q21-AD5</f>
        <v>180</v>
      </c>
      <c r="S21" s="35">
        <f>+Q21+S20</f>
        <v>483</v>
      </c>
      <c r="T21" s="17">
        <f>+S21+T20</f>
        <v>483</v>
      </c>
      <c r="U21" s="17">
        <f t="shared" ref="U21:AD21" si="17">+T21+U20</f>
        <v>483</v>
      </c>
      <c r="V21" s="17">
        <f t="shared" si="17"/>
        <v>483</v>
      </c>
      <c r="W21" s="17">
        <f t="shared" si="17"/>
        <v>483</v>
      </c>
      <c r="X21" s="17">
        <f t="shared" si="17"/>
        <v>483</v>
      </c>
      <c r="Y21" s="17">
        <f t="shared" si="17"/>
        <v>483</v>
      </c>
      <c r="Z21" s="17">
        <f t="shared" si="17"/>
        <v>483</v>
      </c>
      <c r="AA21" s="17">
        <f t="shared" si="17"/>
        <v>483</v>
      </c>
      <c r="AB21" s="17">
        <f t="shared" si="17"/>
        <v>483</v>
      </c>
      <c r="AC21" s="16">
        <f t="shared" si="17"/>
        <v>483</v>
      </c>
      <c r="AD21" s="16">
        <f t="shared" si="17"/>
        <v>483</v>
      </c>
      <c r="AE21" s="19">
        <f>+AD21-Q21</f>
        <v>13</v>
      </c>
    </row>
    <row r="22" spans="2:31" ht="24" customHeight="1" thickBot="1">
      <c r="B22" s="66"/>
      <c r="C22" s="66"/>
      <c r="D22" s="38" t="s">
        <v>9</v>
      </c>
      <c r="E22" s="39"/>
      <c r="F22" s="40">
        <f t="shared" ref="F22:N22" si="18">+F20/F19</f>
        <v>1.4444444444444444</v>
      </c>
      <c r="G22" s="40">
        <f t="shared" si="18"/>
        <v>1.2777777777777777</v>
      </c>
      <c r="H22" s="40">
        <f t="shared" si="18"/>
        <v>1.7647058823529411</v>
      </c>
      <c r="I22" s="40">
        <f t="shared" si="18"/>
        <v>1</v>
      </c>
      <c r="J22" s="40">
        <f t="shared" si="18"/>
        <v>1.25</v>
      </c>
      <c r="K22" s="40">
        <f t="shared" si="18"/>
        <v>0.75</v>
      </c>
      <c r="L22" s="40">
        <f t="shared" si="18"/>
        <v>1</v>
      </c>
      <c r="M22" s="40">
        <f t="shared" si="18"/>
        <v>1.2307692307692308</v>
      </c>
      <c r="N22" s="40">
        <f t="shared" si="18"/>
        <v>0.77777777777777779</v>
      </c>
      <c r="O22" s="52">
        <f t="shared" ref="O22:S22" si="19">+O20/O19</f>
        <v>0.6</v>
      </c>
      <c r="P22" s="52">
        <f t="shared" si="19"/>
        <v>1.6</v>
      </c>
      <c r="Q22" s="52">
        <f t="shared" si="19"/>
        <v>0.81818181818181823</v>
      </c>
      <c r="R22" s="39"/>
      <c r="S22" s="40">
        <f t="shared" si="19"/>
        <v>1.625</v>
      </c>
      <c r="T22" s="40"/>
      <c r="U22" s="40"/>
      <c r="V22" s="40"/>
      <c r="W22" s="40"/>
      <c r="X22" s="40"/>
      <c r="Y22" s="40"/>
      <c r="Z22" s="40"/>
      <c r="AA22" s="40"/>
      <c r="AB22" s="52"/>
      <c r="AC22" s="52"/>
      <c r="AD22" s="52"/>
      <c r="AE22" s="39"/>
    </row>
    <row r="23" spans="2:31" ht="24" customHeight="1">
      <c r="B23" s="65">
        <v>2</v>
      </c>
      <c r="C23" s="65" t="s">
        <v>10</v>
      </c>
      <c r="D23" s="41" t="s">
        <v>11</v>
      </c>
      <c r="E23" s="42"/>
      <c r="F23" s="46">
        <v>13</v>
      </c>
      <c r="G23" s="44">
        <v>13</v>
      </c>
      <c r="H23" s="44">
        <v>12</v>
      </c>
      <c r="I23" s="44">
        <v>7</v>
      </c>
      <c r="J23" s="44">
        <v>5</v>
      </c>
      <c r="K23" s="44">
        <v>5</v>
      </c>
      <c r="L23" s="44">
        <v>12</v>
      </c>
      <c r="M23" s="44">
        <v>15</v>
      </c>
      <c r="N23" s="44">
        <v>15</v>
      </c>
      <c r="O23" s="44">
        <v>11</v>
      </c>
      <c r="P23" s="43">
        <v>11</v>
      </c>
      <c r="Q23" s="45">
        <v>6</v>
      </c>
      <c r="R23" s="42"/>
      <c r="S23" s="46">
        <v>7</v>
      </c>
      <c r="T23" s="44"/>
      <c r="U23" s="44"/>
      <c r="V23" s="44"/>
      <c r="W23" s="44"/>
      <c r="X23" s="44"/>
      <c r="Y23" s="44"/>
      <c r="Z23" s="44"/>
      <c r="AA23" s="44"/>
      <c r="AB23" s="44"/>
      <c r="AC23" s="43"/>
      <c r="AD23" s="45"/>
      <c r="AE23" s="42"/>
    </row>
    <row r="24" spans="2:31" ht="24" customHeight="1" thickBot="1">
      <c r="B24" s="57"/>
      <c r="C24" s="57"/>
      <c r="D24" s="12" t="s">
        <v>12</v>
      </c>
      <c r="E24" s="15"/>
      <c r="F24" s="34">
        <v>16</v>
      </c>
      <c r="G24" s="14">
        <v>16</v>
      </c>
      <c r="H24" s="14">
        <v>17</v>
      </c>
      <c r="I24" s="14">
        <v>7</v>
      </c>
      <c r="J24" s="14">
        <v>8</v>
      </c>
      <c r="K24" s="14">
        <v>5</v>
      </c>
      <c r="L24" s="14">
        <v>11</v>
      </c>
      <c r="M24" s="32">
        <v>26</v>
      </c>
      <c r="N24" s="14">
        <v>25</v>
      </c>
      <c r="O24" s="14">
        <v>24</v>
      </c>
      <c r="P24" s="13">
        <v>24</v>
      </c>
      <c r="Q24" s="33">
        <v>11</v>
      </c>
      <c r="R24" s="15"/>
      <c r="S24" s="34">
        <v>11</v>
      </c>
      <c r="T24" s="14"/>
      <c r="U24" s="14"/>
      <c r="V24" s="14"/>
      <c r="W24" s="14"/>
      <c r="X24" s="14"/>
      <c r="Y24" s="14"/>
      <c r="Z24" s="14"/>
      <c r="AA24" s="14"/>
      <c r="AB24" s="14"/>
      <c r="AC24" s="13"/>
      <c r="AD24" s="33"/>
      <c r="AE24" s="15"/>
    </row>
    <row r="25" spans="2:31" ht="24" customHeight="1" thickBot="1">
      <c r="B25" s="57"/>
      <c r="C25" s="57"/>
      <c r="D25" s="11" t="s">
        <v>13</v>
      </c>
      <c r="E25" s="19" t="e">
        <f>+AE9</f>
        <v>#VALUE!</v>
      </c>
      <c r="F25" s="35" t="e">
        <f>AD9+F24</f>
        <v>#VALUE!</v>
      </c>
      <c r="G25" s="17" t="e">
        <f t="shared" ref="G25:H25" si="20">F25+G24</f>
        <v>#VALUE!</v>
      </c>
      <c r="H25" s="17" t="e">
        <f t="shared" si="20"/>
        <v>#VALUE!</v>
      </c>
      <c r="I25" s="17" t="e">
        <f>H25+I24</f>
        <v>#VALUE!</v>
      </c>
      <c r="J25" s="17" t="e">
        <f t="shared" ref="J25" si="21">I25+J24</f>
        <v>#VALUE!</v>
      </c>
      <c r="K25" s="17" t="e">
        <f>J25+K24</f>
        <v>#VALUE!</v>
      </c>
      <c r="L25" s="17" t="e">
        <f>K25+L24</f>
        <v>#VALUE!</v>
      </c>
      <c r="M25" s="17" t="e">
        <f>L25+M24</f>
        <v>#VALUE!</v>
      </c>
      <c r="N25" s="17" t="e">
        <f>M25+N24</f>
        <v>#VALUE!</v>
      </c>
      <c r="O25" s="17" t="e">
        <f>N25+O24</f>
        <v>#VALUE!</v>
      </c>
      <c r="P25" s="16" t="e">
        <f t="shared" ref="P25" si="22">O25+P24</f>
        <v>#VALUE!</v>
      </c>
      <c r="Q25" s="16" t="e">
        <f t="shared" ref="Q25" si="23">P25+Q24</f>
        <v>#VALUE!</v>
      </c>
      <c r="R25" s="19" t="e">
        <f>+Q25-AD9</f>
        <v>#VALUE!</v>
      </c>
      <c r="S25" s="35" t="e">
        <f>+Q25+S24</f>
        <v>#VALUE!</v>
      </c>
      <c r="T25" s="17" t="e">
        <f>+S25+T24</f>
        <v>#VALUE!</v>
      </c>
      <c r="U25" s="17" t="e">
        <f t="shared" ref="U25" si="24">+T25+U24</f>
        <v>#VALUE!</v>
      </c>
      <c r="V25" s="17" t="e">
        <f t="shared" ref="V25" si="25">+U25+V24</f>
        <v>#VALUE!</v>
      </c>
      <c r="W25" s="17" t="e">
        <f t="shared" ref="W25" si="26">+V25+W24</f>
        <v>#VALUE!</v>
      </c>
      <c r="X25" s="17" t="e">
        <f t="shared" ref="X25" si="27">+W25+X24</f>
        <v>#VALUE!</v>
      </c>
      <c r="Y25" s="17" t="e">
        <f t="shared" ref="Y25" si="28">+X25+Y24</f>
        <v>#VALUE!</v>
      </c>
      <c r="Z25" s="17" t="e">
        <f t="shared" ref="Z25" si="29">+Y25+Z24</f>
        <v>#VALUE!</v>
      </c>
      <c r="AA25" s="17" t="e">
        <f t="shared" ref="AA25" si="30">+Z25+AA24</f>
        <v>#VALUE!</v>
      </c>
      <c r="AB25" s="17" t="e">
        <f t="shared" ref="AB25" si="31">+AA25+AB24</f>
        <v>#VALUE!</v>
      </c>
      <c r="AC25" s="16" t="e">
        <f t="shared" ref="AC25" si="32">+AB25+AC24</f>
        <v>#VALUE!</v>
      </c>
      <c r="AD25" s="16" t="e">
        <f t="shared" ref="AD25" si="33">+AC25+AD24</f>
        <v>#VALUE!</v>
      </c>
      <c r="AE25" s="19" t="e">
        <f>+AD25-Q25</f>
        <v>#VALUE!</v>
      </c>
    </row>
    <row r="26" spans="2:31" ht="24" customHeight="1" thickBot="1">
      <c r="B26" s="66"/>
      <c r="C26" s="66"/>
      <c r="D26" s="38" t="s">
        <v>9</v>
      </c>
      <c r="E26" s="39"/>
      <c r="F26" s="40">
        <f t="shared" ref="F26:N26" si="34">+F24/F23</f>
        <v>1.2307692307692308</v>
      </c>
      <c r="G26" s="40">
        <f t="shared" si="34"/>
        <v>1.2307692307692308</v>
      </c>
      <c r="H26" s="40">
        <f t="shared" si="34"/>
        <v>1.4166666666666667</v>
      </c>
      <c r="I26" s="40">
        <f t="shared" si="34"/>
        <v>1</v>
      </c>
      <c r="J26" s="40">
        <f t="shared" si="34"/>
        <v>1.6</v>
      </c>
      <c r="K26" s="40">
        <f t="shared" si="34"/>
        <v>1</v>
      </c>
      <c r="L26" s="40">
        <f t="shared" si="34"/>
        <v>0.91666666666666663</v>
      </c>
      <c r="M26" s="40">
        <f t="shared" si="34"/>
        <v>1.7333333333333334</v>
      </c>
      <c r="N26" s="40">
        <f t="shared" si="34"/>
        <v>1.6666666666666667</v>
      </c>
      <c r="O26" s="52">
        <f t="shared" ref="O26:S26" si="35">+O24/O23</f>
        <v>2.1818181818181817</v>
      </c>
      <c r="P26" s="52">
        <f t="shared" si="35"/>
        <v>2.1818181818181817</v>
      </c>
      <c r="Q26" s="52">
        <f t="shared" si="35"/>
        <v>1.8333333333333333</v>
      </c>
      <c r="R26" s="39"/>
      <c r="S26" s="52">
        <f t="shared" si="35"/>
        <v>1.5714285714285714</v>
      </c>
      <c r="T26" s="40"/>
      <c r="U26" s="40"/>
      <c r="V26" s="40"/>
      <c r="W26" s="40"/>
      <c r="X26" s="40"/>
      <c r="Y26" s="40"/>
      <c r="Z26" s="40"/>
      <c r="AA26" s="40"/>
      <c r="AB26" s="52"/>
      <c r="AC26" s="52"/>
      <c r="AD26" s="52"/>
      <c r="AE26" s="39"/>
    </row>
    <row r="27" spans="2:31" ht="24" customHeight="1">
      <c r="B27" s="65">
        <v>3</v>
      </c>
      <c r="C27" s="65" t="s">
        <v>14</v>
      </c>
      <c r="D27" s="41" t="s">
        <v>15</v>
      </c>
      <c r="E27" s="42"/>
      <c r="F27" s="46">
        <v>15</v>
      </c>
      <c r="G27" s="44">
        <v>12</v>
      </c>
      <c r="H27" s="44">
        <v>12</v>
      </c>
      <c r="I27" s="44">
        <v>12</v>
      </c>
      <c r="J27" s="44">
        <v>12</v>
      </c>
      <c r="K27" s="44">
        <v>12.5</v>
      </c>
      <c r="L27" s="44">
        <v>14</v>
      </c>
      <c r="M27" s="44">
        <v>14</v>
      </c>
      <c r="N27" s="44">
        <v>14</v>
      </c>
      <c r="O27" s="44">
        <v>14</v>
      </c>
      <c r="P27" s="44">
        <v>14</v>
      </c>
      <c r="Q27" s="45">
        <v>14</v>
      </c>
      <c r="R27" s="42"/>
      <c r="S27" s="46">
        <v>14</v>
      </c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5"/>
      <c r="AE27" s="42"/>
    </row>
    <row r="28" spans="2:31" ht="24" customHeight="1" thickBot="1">
      <c r="B28" s="57"/>
      <c r="C28" s="57"/>
      <c r="D28" s="12" t="s">
        <v>16</v>
      </c>
      <c r="E28" s="15"/>
      <c r="F28" s="34">
        <v>14</v>
      </c>
      <c r="G28" s="14">
        <v>9</v>
      </c>
      <c r="H28" s="14">
        <v>23</v>
      </c>
      <c r="I28" s="14">
        <v>10</v>
      </c>
      <c r="J28" s="14">
        <v>13</v>
      </c>
      <c r="K28" s="14">
        <v>10</v>
      </c>
      <c r="L28" s="14">
        <v>15</v>
      </c>
      <c r="M28" s="14">
        <v>16</v>
      </c>
      <c r="N28" s="14">
        <v>27</v>
      </c>
      <c r="O28" s="32">
        <v>28</v>
      </c>
      <c r="P28" s="13">
        <v>21</v>
      </c>
      <c r="Q28" s="33">
        <v>20</v>
      </c>
      <c r="R28" s="15"/>
      <c r="S28" s="34">
        <v>12</v>
      </c>
      <c r="T28" s="14"/>
      <c r="U28" s="14"/>
      <c r="V28" s="14"/>
      <c r="W28" s="14"/>
      <c r="X28" s="14"/>
      <c r="Y28" s="14"/>
      <c r="Z28" s="14"/>
      <c r="AA28" s="14"/>
      <c r="AB28" s="14"/>
      <c r="AC28" s="13"/>
      <c r="AD28" s="33"/>
      <c r="AE28" s="15"/>
    </row>
    <row r="29" spans="2:31" ht="24" customHeight="1" thickBot="1">
      <c r="B29" s="57"/>
      <c r="C29" s="57"/>
      <c r="D29" s="11" t="s">
        <v>17</v>
      </c>
      <c r="E29" s="19">
        <f>+AE13</f>
        <v>161</v>
      </c>
      <c r="F29" s="35">
        <f>AD13+F28</f>
        <v>201</v>
      </c>
      <c r="G29" s="17">
        <f t="shared" ref="G29:H29" si="36">F29+G28</f>
        <v>210</v>
      </c>
      <c r="H29" s="17">
        <f t="shared" si="36"/>
        <v>233</v>
      </c>
      <c r="I29" s="17">
        <f>H29+I28</f>
        <v>243</v>
      </c>
      <c r="J29" s="17">
        <f t="shared" ref="J29" si="37">I29+J28</f>
        <v>256</v>
      </c>
      <c r="K29" s="17">
        <f>J29+K28</f>
        <v>266</v>
      </c>
      <c r="L29" s="17">
        <f>K29+L28</f>
        <v>281</v>
      </c>
      <c r="M29" s="17">
        <f>L29+M28</f>
        <v>297</v>
      </c>
      <c r="N29" s="17">
        <f>M29+N28</f>
        <v>324</v>
      </c>
      <c r="O29" s="17">
        <f>N29+O28</f>
        <v>352</v>
      </c>
      <c r="P29" s="16">
        <f t="shared" ref="P29" si="38">O29+P28</f>
        <v>373</v>
      </c>
      <c r="Q29" s="16">
        <f t="shared" ref="Q29" si="39">P29+Q28</f>
        <v>393</v>
      </c>
      <c r="R29" s="19">
        <f>+Q29-AD13</f>
        <v>206</v>
      </c>
      <c r="S29" s="35">
        <f>+Q29+S28</f>
        <v>405</v>
      </c>
      <c r="T29" s="17">
        <f>+S29+T28</f>
        <v>405</v>
      </c>
      <c r="U29" s="17">
        <f t="shared" ref="U29" si="40">+T29+U28</f>
        <v>405</v>
      </c>
      <c r="V29" s="17">
        <f t="shared" ref="V29" si="41">+U29+V28</f>
        <v>405</v>
      </c>
      <c r="W29" s="17">
        <f t="shared" ref="W29" si="42">+V29+W28</f>
        <v>405</v>
      </c>
      <c r="X29" s="17">
        <f t="shared" ref="X29" si="43">+W29+X28</f>
        <v>405</v>
      </c>
      <c r="Y29" s="17">
        <f t="shared" ref="Y29" si="44">+X29+Y28</f>
        <v>405</v>
      </c>
      <c r="Z29" s="17">
        <f t="shared" ref="Z29" si="45">+Y29+Z28</f>
        <v>405</v>
      </c>
      <c r="AA29" s="17">
        <f t="shared" ref="AA29" si="46">+Z29+AA28</f>
        <v>405</v>
      </c>
      <c r="AB29" s="17">
        <f t="shared" ref="AB29" si="47">+AA29+AB28</f>
        <v>405</v>
      </c>
      <c r="AC29" s="16">
        <f t="shared" ref="AC29" si="48">+AB29+AC28</f>
        <v>405</v>
      </c>
      <c r="AD29" s="16">
        <f t="shared" ref="AD29" si="49">+AC29+AD28</f>
        <v>405</v>
      </c>
      <c r="AE29" s="19">
        <f>+AD29-Q29</f>
        <v>12</v>
      </c>
    </row>
    <row r="30" spans="2:31" ht="24" customHeight="1" thickBot="1">
      <c r="B30" s="66"/>
      <c r="C30" s="66"/>
      <c r="D30" s="38" t="s">
        <v>9</v>
      </c>
      <c r="E30" s="39"/>
      <c r="F30" s="40">
        <f t="shared" ref="F30:N30" si="50">+F28/F27</f>
        <v>0.93333333333333335</v>
      </c>
      <c r="G30" s="40">
        <f t="shared" si="50"/>
        <v>0.75</v>
      </c>
      <c r="H30" s="40">
        <f t="shared" si="50"/>
        <v>1.9166666666666667</v>
      </c>
      <c r="I30" s="40">
        <f t="shared" si="50"/>
        <v>0.83333333333333337</v>
      </c>
      <c r="J30" s="40">
        <f t="shared" si="50"/>
        <v>1.0833333333333333</v>
      </c>
      <c r="K30" s="40">
        <f t="shared" si="50"/>
        <v>0.8</v>
      </c>
      <c r="L30" s="40">
        <f t="shared" si="50"/>
        <v>1.0714285714285714</v>
      </c>
      <c r="M30" s="40">
        <f t="shared" si="50"/>
        <v>1.1428571428571428</v>
      </c>
      <c r="N30" s="40">
        <f t="shared" si="50"/>
        <v>1.9285714285714286</v>
      </c>
      <c r="O30" s="52">
        <f t="shared" ref="O30:S30" si="51">+O28/O27</f>
        <v>2</v>
      </c>
      <c r="P30" s="52">
        <f t="shared" si="51"/>
        <v>1.5</v>
      </c>
      <c r="Q30" s="52">
        <f t="shared" si="51"/>
        <v>1.4285714285714286</v>
      </c>
      <c r="R30" s="39"/>
      <c r="S30" s="40">
        <f t="shared" si="51"/>
        <v>0.8571428571428571</v>
      </c>
      <c r="T30" s="40"/>
      <c r="U30" s="40"/>
      <c r="V30" s="40"/>
      <c r="W30" s="40"/>
      <c r="X30" s="40"/>
      <c r="Y30" s="40"/>
      <c r="Z30" s="40"/>
      <c r="AA30" s="40"/>
      <c r="AB30" s="52"/>
      <c r="AC30" s="52"/>
      <c r="AD30" s="52"/>
      <c r="AE30" s="39"/>
    </row>
    <row r="31" spans="2:31" ht="24" customHeight="1" thickBot="1">
      <c r="B31" s="61">
        <v>4</v>
      </c>
      <c r="C31" s="63" t="s">
        <v>18</v>
      </c>
      <c r="D31" s="7" t="s">
        <v>19</v>
      </c>
      <c r="E31" s="20"/>
      <c r="F31" s="37">
        <v>20</v>
      </c>
      <c r="G31" s="9">
        <v>5</v>
      </c>
      <c r="H31" s="9">
        <v>31</v>
      </c>
      <c r="I31" s="9">
        <v>13</v>
      </c>
      <c r="J31" s="9">
        <v>24</v>
      </c>
      <c r="K31" s="9">
        <v>6</v>
      </c>
      <c r="L31" s="9">
        <v>15</v>
      </c>
      <c r="M31" s="9">
        <v>23</v>
      </c>
      <c r="N31" s="9">
        <v>4</v>
      </c>
      <c r="O31" s="9">
        <v>0</v>
      </c>
      <c r="P31" s="8">
        <v>39</v>
      </c>
      <c r="Q31" s="53">
        <f>4+27+2+13+2+10</f>
        <v>58</v>
      </c>
      <c r="R31" s="20"/>
      <c r="S31" s="37">
        <v>19</v>
      </c>
      <c r="T31" s="9"/>
      <c r="U31" s="9"/>
      <c r="V31" s="9"/>
      <c r="W31" s="9"/>
      <c r="X31" s="9"/>
      <c r="Y31" s="9"/>
      <c r="Z31" s="9"/>
      <c r="AA31" s="9"/>
      <c r="AB31" s="9"/>
      <c r="AC31" s="8"/>
      <c r="AD31" s="29"/>
      <c r="AE31" s="20"/>
    </row>
    <row r="32" spans="2:31" ht="24" customHeight="1" thickBot="1">
      <c r="B32" s="62"/>
      <c r="C32" s="64"/>
      <c r="D32" s="21" t="s">
        <v>20</v>
      </c>
      <c r="E32" s="19">
        <f>+AE16</f>
        <v>150</v>
      </c>
      <c r="F32" s="36">
        <f>AD16+F31</f>
        <v>170</v>
      </c>
      <c r="G32" s="23">
        <f t="shared" ref="G32:H32" si="52">F32+G31</f>
        <v>175</v>
      </c>
      <c r="H32" s="23">
        <f t="shared" si="52"/>
        <v>206</v>
      </c>
      <c r="I32" s="23">
        <f>H32+I31</f>
        <v>219</v>
      </c>
      <c r="J32" s="23">
        <f t="shared" ref="J32" si="53">I32+J31</f>
        <v>243</v>
      </c>
      <c r="K32" s="23">
        <f>J32+K31</f>
        <v>249</v>
      </c>
      <c r="L32" s="23">
        <f>K32+L31</f>
        <v>264</v>
      </c>
      <c r="M32" s="23">
        <f>L32+M31</f>
        <v>287</v>
      </c>
      <c r="N32" s="23">
        <f>M32+N31</f>
        <v>291</v>
      </c>
      <c r="O32" s="23">
        <f>N32+O31</f>
        <v>291</v>
      </c>
      <c r="P32" s="22">
        <f t="shared" ref="P32" si="54">O32+P31</f>
        <v>330</v>
      </c>
      <c r="Q32" s="22">
        <f t="shared" ref="Q32" si="55">P32+Q31</f>
        <v>388</v>
      </c>
      <c r="R32" s="19">
        <f>+Q32-AD16</f>
        <v>238</v>
      </c>
      <c r="S32" s="36">
        <f>+Q32+S31</f>
        <v>407</v>
      </c>
      <c r="T32" s="23">
        <f>+S32+T31</f>
        <v>407</v>
      </c>
      <c r="U32" s="23">
        <f t="shared" ref="U32" si="56">+T32+U31</f>
        <v>407</v>
      </c>
      <c r="V32" s="23">
        <f t="shared" ref="V32" si="57">+U32+V31</f>
        <v>407</v>
      </c>
      <c r="W32" s="23">
        <f t="shared" ref="W32" si="58">+V32+W31</f>
        <v>407</v>
      </c>
      <c r="X32" s="23">
        <f t="shared" ref="X32" si="59">+W32+X31</f>
        <v>407</v>
      </c>
      <c r="Y32" s="23">
        <f t="shared" ref="Y32" si="60">+X32+Y31</f>
        <v>407</v>
      </c>
      <c r="Z32" s="23">
        <f t="shared" ref="Z32" si="61">+Y32+Z31</f>
        <v>407</v>
      </c>
      <c r="AA32" s="23">
        <f t="shared" ref="AA32" si="62">+Z32+AA31</f>
        <v>407</v>
      </c>
      <c r="AB32" s="23">
        <f t="shared" ref="AB32" si="63">+AA32+AB31</f>
        <v>407</v>
      </c>
      <c r="AC32" s="22">
        <f t="shared" ref="AC32" si="64">+AB32+AC31</f>
        <v>407</v>
      </c>
      <c r="AD32" s="22">
        <f t="shared" ref="AD32" si="65">+AC32+AD31</f>
        <v>407</v>
      </c>
      <c r="AE32" s="19">
        <f>+AD32-Q32</f>
        <v>19</v>
      </c>
    </row>
  </sheetData>
  <mergeCells count="18">
    <mergeCell ref="B11:B14"/>
    <mergeCell ref="C11:C14"/>
    <mergeCell ref="B31:B32"/>
    <mergeCell ref="C31:C32"/>
    <mergeCell ref="B15:B16"/>
    <mergeCell ref="C15:C16"/>
    <mergeCell ref="C27:C30"/>
    <mergeCell ref="B27:B30"/>
    <mergeCell ref="C23:C26"/>
    <mergeCell ref="B23:B26"/>
    <mergeCell ref="C19:C22"/>
    <mergeCell ref="B19:B22"/>
    <mergeCell ref="AD1:AE1"/>
    <mergeCell ref="C3:C6"/>
    <mergeCell ref="B3:B6"/>
    <mergeCell ref="B7:B10"/>
    <mergeCell ref="C7:C10"/>
    <mergeCell ref="B1:AC1"/>
  </mergeCells>
  <printOptions horizontalCentered="1"/>
  <pageMargins left="0.45" right="0.45" top="1.25" bottom="1.25" header="0.3" footer="0.3"/>
  <pageSetup paperSize="8" scale="5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92E9080220D84BBED9FCDBEF1B5C47" ma:contentTypeVersion="16" ma:contentTypeDescription="Create a new document." ma:contentTypeScope="" ma:versionID="9cae68be07acca408ecef65a74970196">
  <xsd:schema xmlns:xsd="http://www.w3.org/2001/XMLSchema" xmlns:xs="http://www.w3.org/2001/XMLSchema" xmlns:p="http://schemas.microsoft.com/office/2006/metadata/properties" xmlns:ns2="4b0af4b3-07bf-413a-aea0-81de99942a5f" xmlns:ns3="ffe3c74f-61e8-4c5b-bf2f-f596927c8ffb" targetNamespace="http://schemas.microsoft.com/office/2006/metadata/properties" ma:root="true" ma:fieldsID="2122b5f6738d9bc9e4a485c0d0ca3f61" ns2:_="" ns3:_="">
    <xsd:import namespace="4b0af4b3-07bf-413a-aea0-81de99942a5f"/>
    <xsd:import namespace="ffe3c74f-61e8-4c5b-bf2f-f596927c8f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DateTime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Histor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af4b3-07bf-413a-aea0-81de99942a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Time" ma:index="12" nillable="true" ma:displayName="Date &amp; Time" ma:format="DateTime" ma:internalName="DateTime">
      <xsd:simpleType>
        <xsd:restriction base="dms:DateTime"/>
      </xsd:simpleType>
    </xsd:element>
    <xsd:element name="MediaServiceBillingMetadata" ma:index="1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b514443-b7a3-4086-9c59-89a49c0c91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History" ma:index="23" nillable="true" ma:displayName="History " ma:format="Dropdown" ma:internalName="History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e3c74f-61e8-4c5b-bf2f-f596927c8ff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8f27ac6-ee86-42f7-a42c-69380e9f4440}" ma:internalName="TaxCatchAll" ma:showField="CatchAllData" ma:web="ffe3c74f-61e8-4c5b-bf2f-f596927c8f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Time xmlns="4b0af4b3-07bf-413a-aea0-81de99942a5f" xsi:nil="true"/>
    <lcf76f155ced4ddcb4097134ff3c332f xmlns="4b0af4b3-07bf-413a-aea0-81de99942a5f">
      <Terms xmlns="http://schemas.microsoft.com/office/infopath/2007/PartnerControls"/>
    </lcf76f155ced4ddcb4097134ff3c332f>
    <History xmlns="4b0af4b3-07bf-413a-aea0-81de99942a5f" xsi:nil="true"/>
    <TaxCatchAll xmlns="ffe3c74f-61e8-4c5b-bf2f-f596927c8ffb" xsi:nil="true"/>
  </documentManagement>
</p:properties>
</file>

<file path=customXml/itemProps1.xml><?xml version="1.0" encoding="utf-8"?>
<ds:datastoreItem xmlns:ds="http://schemas.openxmlformats.org/officeDocument/2006/customXml" ds:itemID="{EBE50956-E680-41F8-83B3-6704596F1A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0af4b3-07bf-413a-aea0-81de99942a5f"/>
    <ds:schemaRef ds:uri="ffe3c74f-61e8-4c5b-bf2f-f596927c8f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98782F-9EC8-47FA-8CE1-ED36BA55C6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908D60-4603-4299-8ADB-E1ACA35D5AC9}">
  <ds:schemaRefs>
    <ds:schemaRef ds:uri="http://schemas.microsoft.com/office/2006/documentManagement/types"/>
    <ds:schemaRef ds:uri="http://purl.org/dc/dcmitype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4b0af4b3-07bf-413a-aea0-81de99942a5f"/>
    <ds:schemaRef ds:uri="ffe3c74f-61e8-4c5b-bf2f-f596927c8ffb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Monthwise 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Sanidhya Dabhi</dc:creator>
  <cp:keywords/>
  <dc:description/>
  <cp:lastModifiedBy>Nikitha Manubothu</cp:lastModifiedBy>
  <cp:revision/>
  <cp:lastPrinted>2026-03-30T13:36:20Z</cp:lastPrinted>
  <dcterms:created xsi:type="dcterms:W3CDTF">2025-11-27T09:53:28Z</dcterms:created>
  <dcterms:modified xsi:type="dcterms:W3CDTF">2026-06-10T13:28:56Z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0x010100A992E9080220D84BBED9FCDBEF1B5C47</vt:lpwstr>
  </property>
  <property fmtid="{D5CDD505-2E9C-101B-9397-08002B2CF9AE}" pid="3" name="Order">
    <vt:r8>255967100</vt:r8>
  </property>
  <property fmtid="{D5CDD505-2E9C-101B-9397-08002B2CF9AE}" pid="4" name="TriggerFlowInfo">
    <vt:lpwstr/>
  </property>
  <property fmtid="{D5CDD505-2E9C-101B-9397-08002B2CF9AE}" pid="5" name="ComplianceAssetId">
    <vt:lpwstr/>
  </property>
  <property fmtid="{D5CDD505-2E9C-101B-9397-08002B2CF9AE}" pid="6" name="_activity">
    <vt:lpwstr>{"FileActivityType":"9","FileActivityTimeStamp":"2025-12-02T10:42:52.460Z","FileActivityUsersOnPage":[{"DisplayName":"Sanidhya Dabhi","Id":"30106826@adani.com"},{"DisplayName":"Kiran Dhoble","Id":"30060724@adani.com"}],"FileActivityNavigationId":null}</vt:lpwstr>
  </property>
  <property fmtid="{D5CDD505-2E9C-101B-9397-08002B2CF9AE}" pid="7" name="_ExtendedDescription">
    <vt:lpwstr/>
  </property>
  <property fmtid="{D5CDD505-2E9C-101B-9397-08002B2CF9AE}" pid="8" name="MediaServiceImageTags">
    <vt:lpwstr/>
  </property>
</Properties>
</file>