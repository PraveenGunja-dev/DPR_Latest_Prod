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wise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9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0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B1" s="1" t="inlineStr">
        <is>
          <t>ARE3L PSS-08 (05 Loc.) MONTHLY PERFORMANCE STATUS</t>
        </is>
      </c>
    </row>
    <row r="2">
      <c r="B2" s="2" t="inlineStr">
        <is>
          <t>Sr No</t>
        </is>
      </c>
      <c r="C2" s="2" t="inlineStr">
        <is>
          <t>Activity</t>
        </is>
      </c>
      <c r="D2" s="2" t="inlineStr">
        <is>
          <t>Resources &amp; Work Done</t>
        </is>
      </c>
      <c r="E2" s="2" t="inlineStr">
        <is>
          <t>Feb-25</t>
        </is>
      </c>
      <c r="F2" s="2" t="inlineStr">
        <is>
          <t>Mar-25</t>
        </is>
      </c>
      <c r="G2" s="2" t="inlineStr">
        <is>
          <t>Apr-25</t>
        </is>
      </c>
      <c r="H2" s="2" t="inlineStr">
        <is>
          <t>May-25</t>
        </is>
      </c>
      <c r="I2" s="2" t="inlineStr">
        <is>
          <t>Jun-25</t>
        </is>
      </c>
      <c r="J2" s="2" t="inlineStr">
        <is>
          <t>Aug-25</t>
        </is>
      </c>
    </row>
    <row r="3">
      <c r="B3" s="3" t="n">
        <v>1</v>
      </c>
      <c r="C3" s="4" t="inlineStr">
        <is>
          <t>Stone Column</t>
        </is>
      </c>
      <c r="D3" s="5" t="inlineStr">
        <is>
          <t>Rigs</t>
        </is>
      </c>
      <c r="E3" s="3" t="inlineStr"/>
      <c r="F3" s="3" t="inlineStr"/>
      <c r="G3" s="3" t="inlineStr"/>
      <c r="H3" s="3" t="inlineStr"/>
      <c r="I3" s="3" t="inlineStr"/>
      <c r="J3" s="3" t="inlineStr"/>
    </row>
    <row r="4">
      <c r="D4" s="5" t="inlineStr">
        <is>
          <t>No of Columns</t>
        </is>
      </c>
      <c r="E4" s="3" t="n">
        <v>90</v>
      </c>
      <c r="F4" s="3" t="n">
        <v>350</v>
      </c>
      <c r="G4" s="3" t="inlineStr"/>
      <c r="H4" s="3" t="inlineStr"/>
      <c r="I4" s="3" t="inlineStr"/>
      <c r="J4" s="3" t="inlineStr"/>
    </row>
    <row r="5">
      <c r="D5" s="5" t="inlineStr">
        <is>
          <t>Cumm SC</t>
        </is>
      </c>
      <c r="E5" s="3">
        <f>E4</f>
        <v/>
      </c>
      <c r="F5" s="3">
        <f>E5+F4</f>
        <v/>
      </c>
      <c r="G5" s="3">
        <f>F5+G4</f>
        <v/>
      </c>
      <c r="H5" s="3">
        <f>G5+H4</f>
        <v/>
      </c>
      <c r="I5" s="3">
        <f>H5+I4</f>
        <v/>
      </c>
      <c r="J5" s="3">
        <f>I5+J4</f>
        <v/>
      </c>
    </row>
    <row r="6">
      <c r="D6" s="5" t="inlineStr">
        <is>
          <t>Productivity</t>
        </is>
      </c>
      <c r="E6" s="3">
        <f>IFERROR(ROUND(E4/E3,2),"-")</f>
        <v/>
      </c>
      <c r="F6" s="3">
        <f>IFERROR(ROUND(F4/F3,2),"-")</f>
        <v/>
      </c>
      <c r="G6" s="3">
        <f>IFERROR(ROUND(G4/G3,2),"-")</f>
        <v/>
      </c>
      <c r="H6" s="3">
        <f>IFERROR(ROUND(H4/H3,2),"-")</f>
        <v/>
      </c>
      <c r="I6" s="3">
        <f>IFERROR(ROUND(I4/I3,2),"-")</f>
        <v/>
      </c>
      <c r="J6" s="3">
        <f>IFERROR(ROUND(J4/J3,2),"-")</f>
        <v/>
      </c>
    </row>
    <row r="8">
      <c r="B8" s="3" t="n">
        <v>2</v>
      </c>
      <c r="C8" s="4" t="inlineStr">
        <is>
          <t>WTG Foundation</t>
        </is>
      </c>
      <c r="D8" s="5" t="inlineStr">
        <is>
          <t>Gangs</t>
        </is>
      </c>
      <c r="E8" s="3" t="inlineStr"/>
      <c r="F8" s="3" t="inlineStr"/>
      <c r="G8" s="3" t="inlineStr"/>
      <c r="H8" s="3" t="inlineStr"/>
      <c r="I8" s="3" t="inlineStr"/>
      <c r="J8" s="3" t="inlineStr"/>
    </row>
    <row r="9">
      <c r="D9" s="5" t="inlineStr">
        <is>
          <t>No of Foundations</t>
        </is>
      </c>
      <c r="E9" s="3" t="inlineStr"/>
      <c r="F9" s="3" t="inlineStr"/>
      <c r="G9" s="3" t="n">
        <v>36</v>
      </c>
      <c r="H9" s="3" t="n">
        <v>37</v>
      </c>
      <c r="I9" s="3" t="n">
        <v>18</v>
      </c>
      <c r="J9" s="3" t="inlineStr"/>
    </row>
    <row r="10">
      <c r="D10" s="5" t="inlineStr">
        <is>
          <t>Cumm Foundations</t>
        </is>
      </c>
      <c r="E10" s="3">
        <f>E9</f>
        <v/>
      </c>
      <c r="F10" s="3">
        <f>E10+F9</f>
        <v/>
      </c>
      <c r="G10" s="3">
        <f>F10+G9</f>
        <v/>
      </c>
      <c r="H10" s="3">
        <f>G10+H9</f>
        <v/>
      </c>
      <c r="I10" s="3">
        <f>H10+I9</f>
        <v/>
      </c>
      <c r="J10" s="3">
        <f>I10+J9</f>
        <v/>
      </c>
    </row>
    <row r="11">
      <c r="D11" s="5" t="inlineStr">
        <is>
          <t>Productivity</t>
        </is>
      </c>
      <c r="E11" s="3">
        <f>IFERROR(ROUND(E9/E8,2),"-")</f>
        <v/>
      </c>
      <c r="F11" s="3">
        <f>IFERROR(ROUND(F9/F8,2),"-")</f>
        <v/>
      </c>
      <c r="G11" s="3">
        <f>IFERROR(ROUND(G9/G8,2),"-")</f>
        <v/>
      </c>
      <c r="H11" s="3">
        <f>IFERROR(ROUND(H9/H8,2),"-")</f>
        <v/>
      </c>
      <c r="I11" s="3">
        <f>IFERROR(ROUND(I9/I8,2),"-")</f>
        <v/>
      </c>
      <c r="J11" s="3">
        <f>IFERROR(ROUND(J9/J8,2),"-")</f>
        <v/>
      </c>
    </row>
    <row r="13">
      <c r="B13" s="3" t="n">
        <v>3</v>
      </c>
      <c r="C13" s="4" t="inlineStr">
        <is>
          <t>WTG Erection</t>
        </is>
      </c>
      <c r="D13" s="5" t="inlineStr">
        <is>
          <t>Cranes Packages</t>
        </is>
      </c>
      <c r="E13" s="3" t="inlineStr"/>
      <c r="F13" s="3" t="inlineStr"/>
      <c r="G13" s="3" t="inlineStr"/>
      <c r="H13" s="3" t="inlineStr"/>
      <c r="I13" s="3" t="inlineStr"/>
      <c r="J13" s="3" t="inlineStr"/>
    </row>
    <row r="14">
      <c r="D14" s="5" t="inlineStr">
        <is>
          <t>No of Erections</t>
        </is>
      </c>
      <c r="E14" s="3" t="inlineStr"/>
      <c r="F14" s="3" t="inlineStr"/>
      <c r="G14" s="3" t="inlineStr"/>
      <c r="H14" s="3" t="inlineStr"/>
      <c r="I14" s="3" t="n">
        <v>1365</v>
      </c>
      <c r="J14" s="3" t="inlineStr"/>
    </row>
    <row r="15">
      <c r="D15" s="5" t="inlineStr">
        <is>
          <t>Cumm Erection</t>
        </is>
      </c>
      <c r="E15" s="3">
        <f>E14</f>
        <v/>
      </c>
      <c r="F15" s="3">
        <f>E15+F14</f>
        <v/>
      </c>
      <c r="G15" s="3">
        <f>F15+G14</f>
        <v/>
      </c>
      <c r="H15" s="3">
        <f>G15+H14</f>
        <v/>
      </c>
      <c r="I15" s="3">
        <f>H15+I14</f>
        <v/>
      </c>
      <c r="J15" s="3">
        <f>I15+J14</f>
        <v/>
      </c>
    </row>
    <row r="16">
      <c r="D16" s="5" t="inlineStr">
        <is>
          <t>Productivity</t>
        </is>
      </c>
      <c r="E16" s="3">
        <f>IFERROR(ROUND(E14/E13,2),"-")</f>
        <v/>
      </c>
      <c r="F16" s="3">
        <f>IFERROR(ROUND(F14/F13,2),"-")</f>
        <v/>
      </c>
      <c r="G16" s="3">
        <f>IFERROR(ROUND(G14/G13,2),"-")</f>
        <v/>
      </c>
      <c r="H16" s="3">
        <f>IFERROR(ROUND(H14/H13,2),"-")</f>
        <v/>
      </c>
      <c r="I16" s="3">
        <f>IFERROR(ROUND(I14/I13,2),"-")</f>
        <v/>
      </c>
      <c r="J16" s="3">
        <f>IFERROR(ROUND(J14/J13,2),"-")</f>
        <v/>
      </c>
    </row>
    <row r="18">
      <c r="B18" s="3" t="n">
        <v>4</v>
      </c>
      <c r="C18" s="4" t="inlineStr">
        <is>
          <t>WTG Commissioning</t>
        </is>
      </c>
      <c r="D18" s="5" t="inlineStr">
        <is>
          <t>Commissioning</t>
        </is>
      </c>
      <c r="E18" s="3" t="inlineStr"/>
      <c r="F18" s="3" t="inlineStr"/>
      <c r="G18" s="3" t="inlineStr"/>
      <c r="H18" s="3" t="inlineStr"/>
      <c r="I18" s="3" t="inlineStr"/>
      <c r="J18" s="3" t="n">
        <v>5</v>
      </c>
    </row>
    <row r="19">
      <c r="D19" s="5" t="inlineStr">
        <is>
          <t>Cumm Commissioning</t>
        </is>
      </c>
      <c r="E19" s="3">
        <f>E18</f>
        <v/>
      </c>
      <c r="F19" s="3">
        <f>E19+F18</f>
        <v/>
      </c>
      <c r="G19" s="3">
        <f>F19+G18</f>
        <v/>
      </c>
      <c r="H19" s="3">
        <f>G19+H18</f>
        <v/>
      </c>
      <c r="I19" s="3">
        <f>H19+I18</f>
        <v/>
      </c>
      <c r="J19" s="3">
        <f>I19+J18</f>
        <v/>
      </c>
    </row>
  </sheetData>
  <mergeCells count="1">
    <mergeCell ref="B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2026-06-15T09:22:20Z</dcterms:created>
  <dcterms:modified xsi:type="dcterms:W3CDTF">2026-06-15T09:22:20Z</dcterms:modified>
</cp:coreProperties>
</file>